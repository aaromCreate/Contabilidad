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arom\Downloads\"/>
    </mc:Choice>
  </mc:AlternateContent>
  <xr:revisionPtr revIDLastSave="0" documentId="13_ncr:1_{A143C797-5245-427F-83EE-D89B28048B31}" xr6:coauthVersionLast="47" xr6:coauthVersionMax="47" xr10:uidLastSave="{00000000-0000-0000-0000-000000000000}"/>
  <bookViews>
    <workbookView xWindow="-120" yWindow="-120" windowWidth="20730" windowHeight="11760" activeTab="3" xr2:uid="{512D1DD0-5C2A-43F2-B5AD-DDBD61891DA0}"/>
  </bookViews>
  <sheets>
    <sheet name="ENUNCIADO" sheetId="7" r:id="rId1"/>
    <sheet name="BALANCE" sheetId="3" r:id="rId2"/>
    <sheet name="MAYOR" sheetId="2" r:id="rId3"/>
    <sheet name="DIARIO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29" i="1" l="1"/>
  <c r="F31" i="1" s="1"/>
  <c r="R27" i="1"/>
  <c r="M13" i="1"/>
  <c r="E129" i="2"/>
  <c r="E118" i="2"/>
  <c r="K28" i="2"/>
  <c r="E28" i="2"/>
  <c r="I63" i="1"/>
  <c r="Q46" i="1"/>
  <c r="R3" i="1"/>
  <c r="M5" i="1"/>
  <c r="I62" i="1"/>
  <c r="M46" i="1"/>
  <c r="J31" i="1"/>
  <c r="M4" i="1"/>
  <c r="Q3" i="1"/>
  <c r="I61" i="1"/>
  <c r="N4" i="1"/>
  <c r="F15" i="1"/>
  <c r="F41" i="1"/>
  <c r="E40" i="1"/>
  <c r="E39" i="1"/>
  <c r="D42" i="1"/>
  <c r="D41" i="1"/>
  <c r="D38" i="1"/>
  <c r="D37" i="1"/>
  <c r="D36" i="1"/>
  <c r="F34" i="1"/>
  <c r="E33" i="1"/>
  <c r="E30" i="1"/>
  <c r="D30" i="1"/>
  <c r="D29" i="1"/>
  <c r="E21" i="1"/>
  <c r="F23" i="1"/>
  <c r="E22" i="1"/>
  <c r="D23" i="1"/>
  <c r="F19" i="1"/>
  <c r="E18" i="1"/>
  <c r="D18" i="1"/>
  <c r="E14" i="1"/>
  <c r="D14" i="1"/>
  <c r="D40" i="2"/>
  <c r="D19" i="2"/>
  <c r="D7" i="1"/>
  <c r="B21" i="3"/>
  <c r="M69" i="1"/>
  <c r="J158" i="2"/>
  <c r="D158" i="2"/>
  <c r="J157" i="2"/>
  <c r="D157" i="2"/>
  <c r="J156" i="2"/>
  <c r="D156" i="2"/>
  <c r="J155" i="2"/>
  <c r="D155" i="2"/>
  <c r="J154" i="2"/>
  <c r="D154" i="2"/>
  <c r="J153" i="2"/>
  <c r="D153" i="2"/>
  <c r="J152" i="2"/>
  <c r="D152" i="2"/>
  <c r="J151" i="2"/>
  <c r="D151" i="2"/>
  <c r="D35" i="1" l="1"/>
  <c r="D39" i="1"/>
  <c r="J141" i="2"/>
  <c r="J142" i="2"/>
  <c r="J143" i="2"/>
  <c r="J144" i="2"/>
  <c r="J145" i="2"/>
  <c r="J146" i="2"/>
  <c r="J147" i="2"/>
  <c r="J140" i="2"/>
  <c r="D141" i="2"/>
  <c r="D142" i="2"/>
  <c r="D143" i="2"/>
  <c r="D144" i="2"/>
  <c r="D145" i="2"/>
  <c r="D146" i="2"/>
  <c r="D147" i="2"/>
  <c r="D140" i="2"/>
  <c r="J130" i="2"/>
  <c r="J131" i="2"/>
  <c r="J132" i="2"/>
  <c r="J133" i="2"/>
  <c r="J134" i="2"/>
  <c r="J135" i="2"/>
  <c r="J136" i="2"/>
  <c r="J129" i="2"/>
  <c r="D134" i="2"/>
  <c r="D135" i="2"/>
  <c r="D136" i="2"/>
  <c r="D137" i="2"/>
  <c r="D130" i="2"/>
  <c r="D131" i="2"/>
  <c r="D132" i="2"/>
  <c r="D133" i="2"/>
  <c r="D129" i="2"/>
  <c r="D119" i="2"/>
  <c r="D120" i="2"/>
  <c r="D121" i="2"/>
  <c r="D122" i="2"/>
  <c r="D123" i="2"/>
  <c r="D124" i="2"/>
  <c r="D125" i="2"/>
  <c r="J119" i="2"/>
  <c r="J120" i="2"/>
  <c r="J121" i="2"/>
  <c r="J122" i="2"/>
  <c r="J123" i="2"/>
  <c r="J124" i="2"/>
  <c r="J125" i="2"/>
  <c r="J118" i="2"/>
  <c r="D118" i="2"/>
  <c r="J108" i="2"/>
  <c r="J109" i="2"/>
  <c r="J110" i="2"/>
  <c r="J111" i="2"/>
  <c r="J112" i="2"/>
  <c r="J113" i="2"/>
  <c r="J114" i="2"/>
  <c r="D108" i="2"/>
  <c r="D109" i="2"/>
  <c r="D110" i="2"/>
  <c r="D111" i="2"/>
  <c r="D112" i="2"/>
  <c r="D113" i="2"/>
  <c r="D114" i="2"/>
  <c r="J107" i="2"/>
  <c r="D107" i="2"/>
  <c r="D97" i="2"/>
  <c r="D98" i="2"/>
  <c r="D99" i="2"/>
  <c r="D100" i="2"/>
  <c r="D101" i="2"/>
  <c r="D102" i="2"/>
  <c r="D103" i="2"/>
  <c r="D96" i="2"/>
  <c r="J97" i="2"/>
  <c r="J98" i="2"/>
  <c r="J99" i="2"/>
  <c r="J100" i="2"/>
  <c r="J101" i="2"/>
  <c r="J102" i="2"/>
  <c r="J103" i="2"/>
  <c r="J96" i="2"/>
  <c r="J86" i="2"/>
  <c r="J87" i="2"/>
  <c r="J88" i="2"/>
  <c r="J89" i="2"/>
  <c r="J90" i="2"/>
  <c r="J91" i="2"/>
  <c r="J92" i="2"/>
  <c r="D86" i="2"/>
  <c r="D87" i="2"/>
  <c r="D88" i="2"/>
  <c r="D89" i="2"/>
  <c r="D90" i="2"/>
  <c r="D91" i="2"/>
  <c r="D92" i="2"/>
  <c r="J85" i="2"/>
  <c r="D85" i="2"/>
  <c r="J75" i="2"/>
  <c r="J76" i="2"/>
  <c r="J77" i="2"/>
  <c r="J78" i="2"/>
  <c r="J79" i="2"/>
  <c r="J80" i="2"/>
  <c r="J81" i="2"/>
  <c r="D75" i="2"/>
  <c r="D76" i="2"/>
  <c r="D77" i="2"/>
  <c r="D78" i="2"/>
  <c r="D79" i="2"/>
  <c r="D80" i="2"/>
  <c r="D81" i="2"/>
  <c r="J74" i="2"/>
  <c r="D74" i="2"/>
  <c r="J64" i="2"/>
  <c r="J65" i="2"/>
  <c r="J66" i="2"/>
  <c r="J67" i="2"/>
  <c r="J68" i="2"/>
  <c r="J69" i="2"/>
  <c r="J70" i="2"/>
  <c r="D64" i="2"/>
  <c r="D65" i="2"/>
  <c r="D66" i="2"/>
  <c r="D67" i="2"/>
  <c r="D68" i="2"/>
  <c r="D69" i="2"/>
  <c r="D70" i="2"/>
  <c r="J63" i="2"/>
  <c r="D63" i="2"/>
  <c r="J53" i="2"/>
  <c r="J54" i="2"/>
  <c r="J55" i="2"/>
  <c r="J56" i="2"/>
  <c r="J57" i="2"/>
  <c r="J58" i="2"/>
  <c r="J59" i="2"/>
  <c r="J52" i="2"/>
  <c r="D52" i="2"/>
  <c r="J41" i="2"/>
  <c r="J42" i="2"/>
  <c r="J43" i="2"/>
  <c r="J44" i="2"/>
  <c r="J45" i="2"/>
  <c r="J46" i="2"/>
  <c r="J47" i="2"/>
  <c r="J48" i="2"/>
  <c r="J40" i="2"/>
  <c r="D41" i="2"/>
  <c r="D42" i="2"/>
  <c r="D43" i="2"/>
  <c r="D44" i="2"/>
  <c r="D45" i="2"/>
  <c r="D46" i="2"/>
  <c r="D47" i="2"/>
  <c r="D48" i="2"/>
  <c r="D29" i="2"/>
  <c r="D30" i="2"/>
  <c r="D31" i="2"/>
  <c r="D32" i="2"/>
  <c r="D33" i="2"/>
  <c r="D34" i="2"/>
  <c r="D35" i="2"/>
  <c r="D36" i="2"/>
  <c r="J29" i="2"/>
  <c r="J30" i="2"/>
  <c r="J31" i="2"/>
  <c r="J32" i="2"/>
  <c r="J33" i="2"/>
  <c r="J34" i="2"/>
  <c r="J35" i="2"/>
  <c r="J36" i="2"/>
  <c r="J28" i="2"/>
  <c r="D28" i="2"/>
  <c r="J17" i="2"/>
  <c r="J18" i="2"/>
  <c r="J19" i="2"/>
  <c r="J20" i="2"/>
  <c r="J21" i="2"/>
  <c r="J22" i="2"/>
  <c r="J16" i="2"/>
  <c r="D17" i="2"/>
  <c r="D18" i="2"/>
  <c r="D16" i="2"/>
  <c r="D23" i="2"/>
  <c r="D22" i="2"/>
  <c r="D21" i="2"/>
  <c r="D20" i="2"/>
  <c r="D53" i="2" l="1"/>
  <c r="D54" i="2"/>
  <c r="D55" i="2"/>
  <c r="D56" i="2"/>
  <c r="D57" i="2"/>
  <c r="D58" i="2"/>
  <c r="D59" i="2"/>
  <c r="J6" i="2"/>
  <c r="J7" i="2"/>
  <c r="J8" i="2"/>
  <c r="J9" i="2"/>
  <c r="J10" i="2"/>
  <c r="J11" i="2"/>
  <c r="J12" i="2"/>
  <c r="J5" i="2"/>
  <c r="D6" i="2"/>
  <c r="D7" i="2"/>
  <c r="D8" i="2"/>
  <c r="D9" i="2"/>
  <c r="D10" i="2"/>
  <c r="D11" i="2"/>
  <c r="D12" i="2"/>
  <c r="J23" i="2"/>
  <c r="J24" i="2"/>
  <c r="D24" i="2"/>
  <c r="D8" i="1"/>
  <c r="D9" i="1"/>
  <c r="D10" i="1"/>
  <c r="D11" i="1"/>
  <c r="D12" i="1"/>
  <c r="D13" i="1"/>
  <c r="D15" i="1"/>
  <c r="D16" i="1"/>
  <c r="D17" i="1"/>
  <c r="D19" i="1"/>
  <c r="D20" i="1"/>
  <c r="D21" i="1"/>
  <c r="D22" i="1"/>
  <c r="D24" i="1"/>
  <c r="D25" i="1"/>
  <c r="D26" i="1"/>
  <c r="D27" i="1"/>
  <c r="D28" i="1"/>
  <c r="D31" i="1"/>
  <c r="D32" i="1"/>
  <c r="D33" i="1"/>
  <c r="D34" i="1"/>
  <c r="D40" i="1"/>
  <c r="D43" i="1"/>
  <c r="D44" i="1"/>
  <c r="D45" i="1"/>
  <c r="D46" i="1"/>
  <c r="D47" i="1"/>
  <c r="D48" i="1"/>
  <c r="D49" i="1"/>
  <c r="D50" i="1"/>
  <c r="D51" i="1"/>
  <c r="J69" i="1"/>
  <c r="I69" i="1"/>
  <c r="I70" i="1" s="1"/>
  <c r="N69" i="1"/>
  <c r="M70" i="1"/>
  <c r="R69" i="1"/>
  <c r="Q69" i="1"/>
  <c r="Q70" i="1" s="1"/>
  <c r="R55" i="1"/>
  <c r="Q55" i="1"/>
  <c r="N55" i="1"/>
  <c r="M55" i="1"/>
  <c r="M56" i="1" s="1"/>
  <c r="J55" i="1"/>
  <c r="I55" i="1"/>
  <c r="I56" i="1" s="1"/>
  <c r="R41" i="1"/>
  <c r="Q41" i="1"/>
  <c r="N41" i="1"/>
  <c r="M41" i="1"/>
  <c r="J41" i="1"/>
  <c r="I41" i="1"/>
  <c r="R26" i="1"/>
  <c r="Q26" i="1"/>
  <c r="N26" i="1"/>
  <c r="M26" i="1"/>
  <c r="M27" i="1" s="1"/>
  <c r="J26" i="1"/>
  <c r="I26" i="1"/>
  <c r="I27" i="1" s="1"/>
  <c r="R12" i="1"/>
  <c r="Q12" i="1"/>
  <c r="N12" i="1"/>
  <c r="M12" i="1"/>
  <c r="Q42" i="1" l="1"/>
  <c r="N70" i="1"/>
  <c r="J42" i="1"/>
  <c r="N42" i="1"/>
  <c r="R42" i="1"/>
  <c r="J70" i="1"/>
  <c r="Q13" i="1"/>
  <c r="M42" i="1"/>
  <c r="R56" i="1"/>
  <c r="I42" i="1"/>
  <c r="R70" i="1"/>
  <c r="Q56" i="1"/>
  <c r="N56" i="1"/>
  <c r="J56" i="1"/>
  <c r="J27" i="1"/>
  <c r="N27" i="1"/>
  <c r="Q27" i="1"/>
  <c r="R13" i="1"/>
  <c r="N13" i="1"/>
  <c r="J12" i="1" l="1"/>
  <c r="I12" i="1"/>
  <c r="D21" i="3"/>
  <c r="J13" i="1" l="1"/>
  <c r="I13" i="1"/>
  <c r="U3" i="1" l="1" a="1"/>
  <c r="K149" i="2" l="1"/>
  <c r="A149" i="2"/>
  <c r="Q58" i="1"/>
  <c r="A19" i="3"/>
  <c r="A17" i="3"/>
  <c r="A15" i="3"/>
  <c r="A13" i="3"/>
  <c r="A11" i="3"/>
  <c r="A9" i="3"/>
  <c r="A20" i="3"/>
  <c r="A18" i="3"/>
  <c r="A16" i="3"/>
  <c r="A14" i="3"/>
  <c r="A12" i="3"/>
  <c r="A10" i="3"/>
  <c r="M58" i="1"/>
  <c r="A26" i="2"/>
  <c r="K138" i="2"/>
  <c r="A138" i="2"/>
  <c r="I58" i="1"/>
  <c r="A14" i="2"/>
  <c r="K26" i="2"/>
  <c r="U3" i="1"/>
  <c r="I1" i="1" s="1"/>
  <c r="K72" i="2"/>
  <c r="A105" i="2"/>
  <c r="K127" i="2"/>
  <c r="K38" i="2"/>
  <c r="A38" i="2"/>
  <c r="A94" i="2"/>
  <c r="K116" i="2"/>
  <c r="K83" i="2"/>
  <c r="A127" i="2"/>
  <c r="I15" i="1"/>
  <c r="K94" i="2"/>
  <c r="K50" i="2"/>
  <c r="K3" i="2"/>
  <c r="A61" i="2"/>
  <c r="A72" i="2"/>
  <c r="K105" i="2"/>
  <c r="K61" i="2"/>
  <c r="K14" i="2"/>
  <c r="A83" i="2"/>
  <c r="A116" i="2"/>
  <c r="A50" i="2"/>
  <c r="I29" i="1"/>
  <c r="M29" i="1"/>
  <c r="M44" i="1"/>
  <c r="Q1" i="1"/>
  <c r="Q44" i="1"/>
  <c r="M15" i="1"/>
  <c r="Q29" i="1"/>
  <c r="M1" i="1"/>
  <c r="Q15" i="1"/>
  <c r="I44" i="1"/>
  <c r="A3" i="2" l="1"/>
  <c r="A8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<sst xmlns="http://schemas.openxmlformats.org/spreadsheetml/2006/main" count="281" uniqueCount="93">
  <si>
    <t>DIARIO</t>
  </si>
  <si>
    <t>FECHA</t>
  </si>
  <si>
    <t>DETALLE</t>
  </si>
  <si>
    <t>REF</t>
  </si>
  <si>
    <t>DR</t>
  </si>
  <si>
    <t>CR</t>
  </si>
  <si>
    <t>Banco</t>
  </si>
  <si>
    <t>Capital</t>
  </si>
  <si>
    <t>Equipo de oficina</t>
  </si>
  <si>
    <t>Caja menuda</t>
  </si>
  <si>
    <t>Gasto - sueldo</t>
  </si>
  <si>
    <t>Gasto - ITBMS</t>
  </si>
  <si>
    <t>Cuentas por cobrar</t>
  </si>
  <si>
    <t>Tesoro nacional - ITBMS</t>
  </si>
  <si>
    <t>Ingresos - servicio profesional</t>
  </si>
  <si>
    <t>Gasto - licencias de software</t>
  </si>
  <si>
    <t>Mobiliario de oficina</t>
  </si>
  <si>
    <t>Gasto - agua</t>
  </si>
  <si>
    <t>HOJA DE MAYOR</t>
  </si>
  <si>
    <t>BALANCE DE PRUEBA O COMPROBACIÓN</t>
  </si>
  <si>
    <t>(en Balboas)</t>
  </si>
  <si>
    <t>NOMBRE DE LA CUENTA</t>
  </si>
  <si>
    <t>Ingresos - servicios profesionales</t>
  </si>
  <si>
    <t>Gasto - honorario profesional</t>
  </si>
  <si>
    <t>Gasto - publicidad</t>
  </si>
  <si>
    <t>Legales y notariales</t>
  </si>
  <si>
    <t>Cuenta</t>
  </si>
  <si>
    <t>Código</t>
  </si>
  <si>
    <t>Caja general</t>
  </si>
  <si>
    <t>Terreno</t>
  </si>
  <si>
    <t>Edificio</t>
  </si>
  <si>
    <t>Edificio - caseta</t>
  </si>
  <si>
    <t>Mobiliario de oficina - señalizaciones</t>
  </si>
  <si>
    <t>Cuentas por pagar</t>
  </si>
  <si>
    <t>Documentos por pagar</t>
  </si>
  <si>
    <t>Salarios por pagar</t>
  </si>
  <si>
    <t>Personal o retiros</t>
  </si>
  <si>
    <t>Ingresos - honorarios profesionales</t>
  </si>
  <si>
    <t>Gastos - sueldo</t>
  </si>
  <si>
    <t>Gastos - sueldos</t>
  </si>
  <si>
    <t>Gasto - salarios</t>
  </si>
  <si>
    <t>Gasto - transporte</t>
  </si>
  <si>
    <t>Gastos - alquiler</t>
  </si>
  <si>
    <t>Gastos - jardinero</t>
  </si>
  <si>
    <t>Gastos - electricidad</t>
  </si>
  <si>
    <t>Gasto - teléfono</t>
  </si>
  <si>
    <t>Gastos - teléfono</t>
  </si>
  <si>
    <t>Gastos - servicios públicos</t>
  </si>
  <si>
    <t>Gasto - electricidad</t>
  </si>
  <si>
    <t>Gasto - internet</t>
  </si>
  <si>
    <t>Gastos - agua</t>
  </si>
  <si>
    <t>REF.</t>
  </si>
  <si>
    <t>DÉBITO</t>
  </si>
  <si>
    <t>CRÉDITO</t>
  </si>
  <si>
    <t>No.</t>
  </si>
  <si>
    <t>Totales</t>
  </si>
  <si>
    <t>Enunciado:</t>
  </si>
  <si>
    <t>Gasto - Salarios</t>
  </si>
  <si>
    <t>Fecha:</t>
  </si>
  <si>
    <t>Empresa : NETWORK SOLUTIONS PANAMÁ, S.A</t>
  </si>
  <si>
    <t>Aporte de capital por B/.185,000.00 depositado en Scotiabank.NAMÁ, S.A</t>
  </si>
  <si>
    <t>*80</t>
  </si>
  <si>
    <t>Registro de aporte de capital al banco Scotiabank.NAMÁ, S.A</t>
  </si>
  <si>
    <t>Se establece caja menuda por B/.300.00 mediante cheque No. 2201.</t>
  </si>
  <si>
    <t>Febrero</t>
  </si>
  <si>
    <t>Caja Menuda</t>
  </si>
  <si>
    <t>Se establece caja menuda mediante el cheque No . 2201</t>
  </si>
  <si>
    <t>Compra de herramientas técnicas para instalación de redes por B/.5,600.00 más ITBMS mediante cheque No. 2202</t>
  </si>
  <si>
    <t>Equipo de Oficina</t>
  </si>
  <si>
    <t>Compra de equipo de herramientas para instalación de redes mediante el cheque No. 2202</t>
  </si>
  <si>
    <t>Compra de mobiliario de oficina por B/.3,400.00 más ITBMS a crédito.</t>
  </si>
  <si>
    <t>Transacciones del mes de Febrero</t>
  </si>
  <si>
    <t>Cuentas por Pagar</t>
  </si>
  <si>
    <t>Mobiliario de Oficina</t>
  </si>
  <si>
    <t xml:space="preserve">Compra de mobiliario de oficina a credito </t>
  </si>
  <si>
    <t>Se presta un servicio de implementación de red corporativa por B/.11,800.00 más ITBMS. El cliente paga el 30% por transferencia y el resto queda a crédito.</t>
  </si>
  <si>
    <t>Ingresos - Servicio Profesional</t>
  </si>
  <si>
    <t>Cuentas por Cobrar</t>
  </si>
  <si>
    <t>Pago de salarios por B/.5,900.00 mediante cheque No. 2203.</t>
  </si>
  <si>
    <t>Tesoro Nacional - ITBMS</t>
  </si>
  <si>
    <t>Se presta un servicio de implementación de red corporativa</t>
  </si>
  <si>
    <t>Pago de salarios mediante el cheque No. 2203</t>
  </si>
  <si>
    <t>Pago de gastos de mercadeo por B/.749.00 (incluye ITBMS) mediante cheque No. 2204.</t>
  </si>
  <si>
    <t>Se recibe transferencia bancaria por el saldo pendiente de la venta del 13 de febrero.</t>
  </si>
  <si>
    <t>Gasto - Publicidad</t>
  </si>
  <si>
    <t>Se realiza un abono de B/.1,500.00 a la cuenta por pagar de mobiliario mediante cheque No. 2205.</t>
  </si>
  <si>
    <t>Pago de gastos de mercadeo mediante el cheque No. 2204</t>
  </si>
  <si>
    <t>Se realiza abono al mobiliario mediante el cheque No. 2205</t>
  </si>
  <si>
    <t>Pago de servicios públicos por B/.580.00 (incluye ITBMS) mediante cheque No. 2206.</t>
  </si>
  <si>
    <t>Pago de servicio publico mediante el cheque No. 2205</t>
  </si>
  <si>
    <t>NETWORK SOLUTIONS PANAMÁ, S.A.</t>
  </si>
  <si>
    <t xml:space="preserve">Del 1 al 31 de Febrero </t>
  </si>
  <si>
    <t>ESTADO FINANCIERO : Según el balance la empresa presenta ingresos bajos pero es debido a su recien inicio. Como punto interesante es que aunque es nueva ya tiene un gasto alto para el salario. A su vez aun presentan deudas que pagar en cual se remonta a la compra de un mobiliario de oficina.Como punto positivo o fuerte tiene un monto disponible para futuros gastos y operaciones.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</si>
</sst>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B/.&quot;\ * #,##0.00_);_(&quot;B/.&quot;\ * \(#,##0.00\);_(&quot;B/.&quot;\ * &quot;-&quot;??_);_(@_)"/>
  </numFmts>
  <fonts count="18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4" xfId="0" applyFont="1" applyBorder="1" applyAlignment="1">
      <alignment horizontal="right"/>
    </xf>
    <xf numFmtId="0" fontId="3" fillId="0" borderId="4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7" fillId="0" borderId="4" xfId="0" applyFont="1" applyBorder="1"/>
    <xf numFmtId="0" fontId="8" fillId="0" borderId="4" xfId="0" applyFont="1" applyBorder="1"/>
    <xf numFmtId="0" fontId="10" fillId="0" borderId="15" xfId="0" applyFont="1" applyBorder="1" applyAlignment="1">
      <alignment horizontal="center"/>
    </xf>
    <xf numFmtId="0" fontId="10" fillId="0" borderId="14" xfId="0" applyFont="1" applyBorder="1"/>
    <xf numFmtId="0" fontId="10" fillId="0" borderId="0" xfId="0" applyFont="1"/>
    <xf numFmtId="164" fontId="10" fillId="0" borderId="13" xfId="0" applyNumberFormat="1" applyFont="1" applyBorder="1"/>
    <xf numFmtId="0" fontId="10" fillId="0" borderId="3" xfId="0" applyFont="1" applyBorder="1"/>
    <xf numFmtId="0" fontId="0" fillId="0" borderId="18" xfId="0" applyBorder="1"/>
    <xf numFmtId="17" fontId="7" fillId="0" borderId="4" xfId="0" applyNumberFormat="1" applyFont="1" applyBorder="1"/>
    <xf numFmtId="3" fontId="0" fillId="0" borderId="4" xfId="0" applyNumberFormat="1" applyBorder="1"/>
    <xf numFmtId="2" fontId="0" fillId="0" borderId="0" xfId="0" applyNumberFormat="1"/>
    <xf numFmtId="0" fontId="7" fillId="0" borderId="19" xfId="0" applyFont="1" applyBorder="1"/>
    <xf numFmtId="0" fontId="7" fillId="0" borderId="20" xfId="0" applyFont="1" applyBorder="1"/>
    <xf numFmtId="0" fontId="0" fillId="0" borderId="0" xfId="0" applyAlignment="1">
      <alignment horizontal="center"/>
    </xf>
    <xf numFmtId="2" fontId="5" fillId="0" borderId="3" xfId="0" applyNumberFormat="1" applyFont="1" applyBorder="1"/>
    <xf numFmtId="2" fontId="0" fillId="0" borderId="13" xfId="0" applyNumberFormat="1" applyBorder="1"/>
    <xf numFmtId="0" fontId="11" fillId="0" borderId="0" xfId="0" applyFont="1" applyAlignment="1">
      <alignment vertical="center" wrapText="1"/>
    </xf>
    <xf numFmtId="0" fontId="11" fillId="0" borderId="0" xfId="0" applyFont="1"/>
    <xf numFmtId="2" fontId="5" fillId="0" borderId="0" xfId="0" applyNumberFormat="1" applyFont="1"/>
    <xf numFmtId="2" fontId="6" fillId="0" borderId="2" xfId="0" applyNumberFormat="1" applyFont="1" applyBorder="1" applyAlignment="1">
      <alignment horizontal="center"/>
    </xf>
    <xf numFmtId="2" fontId="6" fillId="0" borderId="11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right"/>
    </xf>
    <xf numFmtId="2" fontId="5" fillId="0" borderId="5" xfId="0" applyNumberFormat="1" applyFont="1" applyBorder="1"/>
    <xf numFmtId="2" fontId="5" fillId="0" borderId="12" xfId="0" applyNumberFormat="1" applyFont="1" applyBorder="1"/>
    <xf numFmtId="2" fontId="5" fillId="0" borderId="5" xfId="0" applyNumberFormat="1" applyFont="1" applyBorder="1" applyAlignment="1">
      <alignment horizontal="right"/>
    </xf>
    <xf numFmtId="2" fontId="6" fillId="0" borderId="12" xfId="0" applyNumberFormat="1" applyFont="1" applyBorder="1" applyAlignment="1">
      <alignment horizontal="center"/>
    </xf>
    <xf numFmtId="2" fontId="0" fillId="0" borderId="5" xfId="0" applyNumberFormat="1" applyBorder="1"/>
    <xf numFmtId="2" fontId="6" fillId="0" borderId="0" xfId="0" applyNumberFormat="1" applyFont="1" applyAlignment="1">
      <alignment horizontal="right"/>
    </xf>
    <xf numFmtId="2" fontId="5" fillId="0" borderId="6" xfId="0" applyNumberFormat="1" applyFont="1" applyBorder="1"/>
    <xf numFmtId="2" fontId="5" fillId="0" borderId="12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0" fillId="0" borderId="0" xfId="0" applyAlignment="1">
      <alignment horizontal="center" vertical="center"/>
    </xf>
    <xf numFmtId="2" fontId="10" fillId="0" borderId="17" xfId="0" applyNumberFormat="1" applyFont="1" applyBorder="1"/>
    <xf numFmtId="2" fontId="10" fillId="0" borderId="10" xfId="0" applyNumberFormat="1" applyFont="1" applyBorder="1"/>
    <xf numFmtId="2" fontId="10" fillId="0" borderId="16" xfId="0" applyNumberFormat="1" applyFont="1" applyBorder="1"/>
    <xf numFmtId="2" fontId="10" fillId="0" borderId="8" xfId="0" applyNumberFormat="1" applyFont="1" applyBorder="1"/>
    <xf numFmtId="0" fontId="10" fillId="0" borderId="9" xfId="0" applyFont="1" applyBorder="1"/>
    <xf numFmtId="2" fontId="10" fillId="0" borderId="6" xfId="0" applyNumberFormat="1" applyFont="1" applyBorder="1" applyAlignment="1">
      <alignment horizontal="center"/>
    </xf>
    <xf numFmtId="2" fontId="10" fillId="0" borderId="22" xfId="0" applyNumberFormat="1" applyFont="1" applyBorder="1" applyAlignment="1">
      <alignment horizontal="center"/>
    </xf>
    <xf numFmtId="2" fontId="10" fillId="0" borderId="23" xfId="0" applyNumberFormat="1" applyFont="1" applyBorder="1"/>
    <xf numFmtId="2" fontId="10" fillId="0" borderId="9" xfId="0" applyNumberFormat="1" applyFont="1" applyBorder="1"/>
    <xf numFmtId="0" fontId="0" fillId="0" borderId="4" xfId="0" applyBorder="1"/>
    <xf numFmtId="2" fontId="0" fillId="0" borderId="4" xfId="0" applyNumberFormat="1" applyBorder="1"/>
    <xf numFmtId="0" fontId="13" fillId="0" borderId="0" xfId="0" applyFont="1" applyAlignment="1">
      <alignment horizontal="justify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8" fillId="0" borderId="0" xfId="0" applyFont="1"/>
    <xf numFmtId="0" fontId="7" fillId="0" borderId="24" xfId="0" applyFont="1" applyBorder="1"/>
    <xf numFmtId="0" fontId="7" fillId="0" borderId="10" xfId="0" applyFont="1" applyBorder="1"/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0" xfId="0" applyFont="1"/>
    <xf numFmtId="2" fontId="0" fillId="0" borderId="3" xfId="0" applyNumberFormat="1" applyBorder="1" applyAlignment="1">
      <alignment horizontal="center" vertical="center"/>
    </xf>
    <xf numFmtId="2" fontId="5" fillId="0" borderId="2" xfId="0" applyNumberFormat="1" applyFont="1" applyBorder="1"/>
    <xf numFmtId="2" fontId="0" fillId="0" borderId="1" xfId="0" applyNumberFormat="1" applyBorder="1" applyAlignment="1">
      <alignment horizontal="center" vertical="center"/>
    </xf>
    <xf numFmtId="0" fontId="16" fillId="0" borderId="4" xfId="0" applyFont="1" applyBorder="1" applyAlignment="1">
      <alignment horizontal="left" vertical="center" wrapText="1"/>
    </xf>
    <xf numFmtId="0" fontId="16" fillId="0" borderId="0" xfId="0" applyFont="1" applyAlignment="1">
      <alignment horizontal="center"/>
    </xf>
    <xf numFmtId="0" fontId="16" fillId="0" borderId="4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0" borderId="4" xfId="0" applyFont="1" applyBorder="1" applyAlignment="1">
      <alignment horizontal="left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4" xfId="0" applyFont="1" applyBorder="1"/>
    <xf numFmtId="164" fontId="10" fillId="0" borderId="4" xfId="0" applyNumberFormat="1" applyFont="1" applyBorder="1"/>
    <xf numFmtId="2" fontId="0" fillId="0" borderId="12" xfId="0" applyNumberFormat="1" applyBorder="1"/>
    <xf numFmtId="0" fontId="17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6" fillId="0" borderId="5" xfId="0" applyFont="1" applyBorder="1"/>
    <xf numFmtId="0" fontId="16" fillId="0" borderId="12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16" fillId="0" borderId="26" xfId="0" applyFont="1" applyBorder="1" applyAlignment="1">
      <alignment vertical="center" wrapText="1"/>
    </xf>
    <xf numFmtId="0" fontId="16" fillId="0" borderId="1" xfId="0" applyFont="1" applyBorder="1"/>
    <xf numFmtId="0" fontId="16" fillId="0" borderId="3" xfId="0" applyFont="1" applyBorder="1"/>
    <xf numFmtId="0" fontId="16" fillId="0" borderId="12" xfId="0" applyFont="1" applyBorder="1"/>
    <xf numFmtId="0" fontId="16" fillId="0" borderId="6" xfId="0" applyFont="1" applyBorder="1"/>
    <xf numFmtId="0" fontId="16" fillId="0" borderId="26" xfId="0" applyFont="1" applyBorder="1"/>
    <xf numFmtId="0" fontId="16" fillId="0" borderId="0" xfId="0" applyFont="1"/>
    <xf numFmtId="0" fontId="9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2" fontId="6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4" fontId="0" fillId="0" borderId="9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2" fontId="0" fillId="0" borderId="0" xfId="0" applyNumberFormat="1" applyBorder="1"/>
    <xf numFmtId="0" fontId="0" fillId="0" borderId="0" xfId="0" applyBorder="1"/>
    <xf numFmtId="2" fontId="0" fillId="0" borderId="17" xfId="0" applyNumberFormat="1" applyBorder="1" applyAlignment="1">
      <alignment horizontal="center" vertical="center"/>
    </xf>
    <xf numFmtId="2" fontId="5" fillId="0" borderId="17" xfId="0" applyNumberFormat="1" applyFont="1" applyBorder="1"/>
    <xf numFmtId="0" fontId="13" fillId="0" borderId="0" xfId="0" applyFont="1"/>
    <xf numFmtId="0" fontId="13" fillId="0" borderId="0" xfId="0" applyFont="1" applyAlignment="1">
      <alignment vertical="center" wrapText="1"/>
    </xf>
    <xf numFmtId="17" fontId="13" fillId="0" borderId="0" xfId="0" applyNumberFormat="1" applyFont="1" applyAlignment="1">
      <alignment horizontal="justify" vertical="center"/>
    </xf>
    <xf numFmtId="2" fontId="0" fillId="0" borderId="13" xfId="0" applyNumberFormat="1" applyFont="1" applyBorder="1"/>
    <xf numFmtId="2" fontId="6" fillId="0" borderId="12" xfId="0" applyNumberFormat="1" applyFont="1" applyBorder="1" applyAlignment="1">
      <alignment horizontal="right"/>
    </xf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0" xfId="0" applyAlignment="1">
      <alignment horizontal="center" vertical="top" wrapText="1"/>
    </xf>
    <xf numFmtId="0" fontId="12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7FBD-5960-47A6-8D1F-DE79608418C9}">
  <dimension ref="A1:B14"/>
  <sheetViews>
    <sheetView topLeftCell="A4" zoomScaleNormal="100" workbookViewId="0">
      <selection activeCell="B7" sqref="B7"/>
    </sheetView>
  </sheetViews>
  <sheetFormatPr baseColWidth="10" defaultRowHeight="15" x14ac:dyDescent="0.25"/>
  <cols>
    <col min="1" max="1" width="12.140625" customWidth="1"/>
    <col min="2" max="2" width="91.7109375" customWidth="1"/>
  </cols>
  <sheetData>
    <row r="1" spans="1:2" ht="30" customHeight="1" x14ac:dyDescent="0.25">
      <c r="A1" s="55"/>
    </row>
    <row r="2" spans="1:2" ht="30" customHeight="1" x14ac:dyDescent="0.25">
      <c r="A2" s="56"/>
      <c r="B2" s="124" t="s">
        <v>59</v>
      </c>
    </row>
    <row r="3" spans="1:2" ht="30" customHeight="1" x14ac:dyDescent="0.25">
      <c r="A3" s="125"/>
      <c r="B3" s="125" t="s">
        <v>71</v>
      </c>
    </row>
    <row r="4" spans="1:2" ht="30" customHeight="1" x14ac:dyDescent="0.25">
      <c r="A4" s="54" t="s">
        <v>58</v>
      </c>
      <c r="B4" s="124" t="s">
        <v>56</v>
      </c>
    </row>
    <row r="5" spans="1:2" ht="30" customHeight="1" x14ac:dyDescent="0.25">
      <c r="A5" s="126">
        <v>36923</v>
      </c>
      <c r="B5" s="132" t="s">
        <v>60</v>
      </c>
    </row>
    <row r="6" spans="1:2" ht="30" customHeight="1" x14ac:dyDescent="0.25">
      <c r="A6" s="126">
        <v>37653</v>
      </c>
      <c r="B6" s="133" t="s">
        <v>63</v>
      </c>
    </row>
    <row r="7" spans="1:2" ht="30" customHeight="1" x14ac:dyDescent="0.25">
      <c r="A7" s="126">
        <v>38384</v>
      </c>
      <c r="B7" s="132" t="s">
        <v>67</v>
      </c>
    </row>
    <row r="8" spans="1:2" ht="30" customHeight="1" x14ac:dyDescent="0.25">
      <c r="A8" s="126">
        <v>39845</v>
      </c>
      <c r="B8" s="134" t="s">
        <v>70</v>
      </c>
    </row>
    <row r="9" spans="1:2" ht="30" customHeight="1" x14ac:dyDescent="0.25">
      <c r="A9" s="126">
        <v>41306</v>
      </c>
      <c r="B9" s="132" t="s">
        <v>75</v>
      </c>
    </row>
    <row r="10" spans="1:2" ht="30" customHeight="1" x14ac:dyDescent="0.25">
      <c r="A10" s="126">
        <v>42036</v>
      </c>
      <c r="B10" s="132" t="s">
        <v>78</v>
      </c>
    </row>
    <row r="11" spans="1:2" ht="30" customHeight="1" x14ac:dyDescent="0.25">
      <c r="A11" s="126">
        <v>43497</v>
      </c>
      <c r="B11" s="132" t="s">
        <v>82</v>
      </c>
    </row>
    <row r="12" spans="1:2" ht="30" customHeight="1" x14ac:dyDescent="0.25">
      <c r="A12" s="126">
        <v>44958</v>
      </c>
      <c r="B12" s="133" t="s">
        <v>83</v>
      </c>
    </row>
    <row r="13" spans="1:2" ht="30" customHeight="1" x14ac:dyDescent="0.25">
      <c r="A13" s="126">
        <v>46054</v>
      </c>
      <c r="B13" s="132" t="s">
        <v>85</v>
      </c>
    </row>
    <row r="14" spans="1:2" ht="30" customHeight="1" x14ac:dyDescent="0.25">
      <c r="A14" s="126">
        <v>46784</v>
      </c>
      <c r="B14" s="134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7A43-A65B-43EB-9DE6-872F4DC645C2}">
  <sheetPr codeName="Hoja3">
    <tabColor theme="8"/>
  </sheetPr>
  <dimension ref="A1:D33"/>
  <sheetViews>
    <sheetView topLeftCell="A6" workbookViewId="0">
      <selection activeCell="B21" sqref="B21"/>
    </sheetView>
  </sheetViews>
  <sheetFormatPr baseColWidth="10" defaultRowHeight="15" x14ac:dyDescent="0.25"/>
  <cols>
    <col min="1" max="1" width="39.7109375" customWidth="1"/>
    <col min="2" max="2" width="20.42578125" customWidth="1"/>
    <col min="3" max="3" width="1.5703125" customWidth="1"/>
    <col min="4" max="4" width="19.5703125" customWidth="1"/>
  </cols>
  <sheetData>
    <row r="1" spans="1:4" ht="21" x14ac:dyDescent="0.35">
      <c r="A1" s="88"/>
      <c r="B1" s="88"/>
      <c r="C1" s="88"/>
      <c r="D1" s="88"/>
    </row>
    <row r="2" spans="1:4" ht="21" x14ac:dyDescent="0.35">
      <c r="A2" s="88" t="s">
        <v>90</v>
      </c>
      <c r="B2" s="88"/>
      <c r="C2" s="88"/>
      <c r="D2" s="88"/>
    </row>
    <row r="3" spans="1:4" ht="18.75" x14ac:dyDescent="0.3">
      <c r="A3" s="89" t="s">
        <v>19</v>
      </c>
      <c r="B3" s="89"/>
      <c r="C3" s="89"/>
      <c r="D3" s="89"/>
    </row>
    <row r="4" spans="1:4" ht="18.75" x14ac:dyDescent="0.3">
      <c r="A4" s="89" t="s">
        <v>91</v>
      </c>
      <c r="B4" s="89"/>
      <c r="C4" s="89"/>
      <c r="D4" s="89"/>
    </row>
    <row r="5" spans="1:4" ht="18.75" x14ac:dyDescent="0.3">
      <c r="A5" s="89" t="s">
        <v>20</v>
      </c>
      <c r="B5" s="89"/>
      <c r="C5" s="89"/>
      <c r="D5" s="89"/>
    </row>
    <row r="6" spans="1:4" ht="18.75" x14ac:dyDescent="0.3">
      <c r="A6" s="90"/>
      <c r="B6" s="90"/>
      <c r="C6" s="91"/>
      <c r="D6" s="90"/>
    </row>
    <row r="7" spans="1:4" ht="18.75" x14ac:dyDescent="0.3">
      <c r="A7" s="12" t="s">
        <v>21</v>
      </c>
      <c r="B7" s="48" t="s">
        <v>4</v>
      </c>
      <c r="C7" s="43"/>
      <c r="D7" s="49" t="s">
        <v>5</v>
      </c>
    </row>
    <row r="8" spans="1:4" ht="18.75" x14ac:dyDescent="0.3">
      <c r="A8" s="13" t="str">
        <f>DIARIO!U3</f>
        <v>Caja Menuda</v>
      </c>
      <c r="B8" s="46">
        <v>300</v>
      </c>
      <c r="C8" s="44"/>
      <c r="D8" s="50"/>
    </row>
    <row r="9" spans="1:4" ht="18.75" x14ac:dyDescent="0.3">
      <c r="A9" s="13" t="str">
        <f>DIARIO!U4</f>
        <v>Banco</v>
      </c>
      <c r="B9" s="46">
        <v>182605</v>
      </c>
      <c r="C9" s="44"/>
      <c r="D9" s="50"/>
    </row>
    <row r="10" spans="1:4" ht="18.75" x14ac:dyDescent="0.3">
      <c r="A10" s="13" t="str">
        <f>DIARIO!U5</f>
        <v>Cuentas por Cobrar</v>
      </c>
      <c r="B10" s="46">
        <v>0</v>
      </c>
      <c r="C10" s="44"/>
      <c r="D10" s="50">
        <v>0</v>
      </c>
    </row>
    <row r="11" spans="1:4" ht="18.75" x14ac:dyDescent="0.3">
      <c r="A11" s="13" t="str">
        <f>DIARIO!U6</f>
        <v>Mobiliario de Oficina</v>
      </c>
      <c r="B11" s="46">
        <v>3400</v>
      </c>
      <c r="C11" s="44"/>
      <c r="D11" s="50"/>
    </row>
    <row r="12" spans="1:4" ht="18.75" x14ac:dyDescent="0.3">
      <c r="A12" s="13" t="str">
        <f>DIARIO!U7</f>
        <v>Equipo de Oficina</v>
      </c>
      <c r="B12" s="46">
        <v>5600</v>
      </c>
      <c r="C12" s="44"/>
      <c r="D12" s="50"/>
    </row>
    <row r="13" spans="1:4" ht="18.75" x14ac:dyDescent="0.3">
      <c r="A13" s="13" t="str">
        <f>DIARIO!U8</f>
        <v>Cuentas por pagar</v>
      </c>
      <c r="B13" s="46"/>
      <c r="C13" s="44"/>
      <c r="D13" s="50">
        <v>1138</v>
      </c>
    </row>
    <row r="14" spans="1:4" ht="18.75" x14ac:dyDescent="0.3">
      <c r="A14" s="13" t="str">
        <f>DIARIO!U9</f>
        <v>Tesoro Nacional - ITBMS</v>
      </c>
      <c r="B14" s="46"/>
      <c r="C14" s="44"/>
      <c r="D14" s="51">
        <v>826</v>
      </c>
    </row>
    <row r="15" spans="1:4" ht="18.75" x14ac:dyDescent="0.3">
      <c r="A15" s="13" t="str">
        <f>DIARIO!U10</f>
        <v>Capital</v>
      </c>
      <c r="B15" s="46"/>
      <c r="C15" s="44"/>
      <c r="D15" s="16">
        <v>185000</v>
      </c>
    </row>
    <row r="16" spans="1:4" ht="18.75" x14ac:dyDescent="0.3">
      <c r="A16" s="13" t="str">
        <f>DIARIO!U11</f>
        <v>Ingresos - Servicio Profesional</v>
      </c>
      <c r="B16" s="46"/>
      <c r="C16" s="44"/>
      <c r="D16" s="16">
        <v>11800</v>
      </c>
    </row>
    <row r="17" spans="1:4" ht="18.75" x14ac:dyDescent="0.3">
      <c r="A17" s="13" t="str">
        <f>DIARIO!U12</f>
        <v>Gasto - Salarios</v>
      </c>
      <c r="B17" s="46">
        <v>5900</v>
      </c>
      <c r="C17" s="44"/>
      <c r="D17" s="47"/>
    </row>
    <row r="18" spans="1:4" ht="18.75" x14ac:dyDescent="0.3">
      <c r="A18" s="13" t="str">
        <f>DIARIO!U13</f>
        <v>Gasto - Publicidad</v>
      </c>
      <c r="B18" s="46">
        <v>696.57</v>
      </c>
      <c r="C18" s="44"/>
      <c r="D18" s="47"/>
    </row>
    <row r="19" spans="1:4" ht="18.75" x14ac:dyDescent="0.3">
      <c r="A19" s="13" t="str">
        <f>DIARIO!U14</f>
        <v>Gastos - servicios públicos</v>
      </c>
      <c r="B19" s="46">
        <v>539.4</v>
      </c>
      <c r="C19" s="44"/>
      <c r="D19" s="47"/>
    </row>
    <row r="20" spans="1:4" ht="18.75" x14ac:dyDescent="0.3">
      <c r="A20" s="13" t="str">
        <f>DIARIO!U15</f>
        <v>Gasto - ITBMS</v>
      </c>
      <c r="B20" s="46">
        <v>723.03</v>
      </c>
      <c r="C20" s="44"/>
      <c r="D20" s="47"/>
    </row>
    <row r="21" spans="1:4" ht="19.5" thickBot="1" x14ac:dyDescent="0.35">
      <c r="A21" s="13" t="s">
        <v>55</v>
      </c>
      <c r="B21" s="15">
        <f>SUM(B8:B20)</f>
        <v>199764</v>
      </c>
      <c r="C21" s="45"/>
      <c r="D21" s="73">
        <f>SUM(D8:D20)</f>
        <v>198764</v>
      </c>
    </row>
    <row r="22" spans="1:4" ht="19.5" thickTop="1" x14ac:dyDescent="0.3">
      <c r="A22" s="14"/>
      <c r="C22" s="14"/>
    </row>
    <row r="24" spans="1:4" x14ac:dyDescent="0.25">
      <c r="A24" s="131" t="s">
        <v>92</v>
      </c>
      <c r="B24" s="131"/>
      <c r="C24" s="131"/>
      <c r="D24" s="131"/>
    </row>
    <row r="25" spans="1:4" x14ac:dyDescent="0.25">
      <c r="A25" s="131"/>
      <c r="B25" s="131"/>
      <c r="C25" s="131"/>
      <c r="D25" s="131"/>
    </row>
    <row r="26" spans="1:4" x14ac:dyDescent="0.25">
      <c r="A26" s="131"/>
      <c r="B26" s="131"/>
      <c r="C26" s="131"/>
      <c r="D26" s="131"/>
    </row>
    <row r="27" spans="1:4" x14ac:dyDescent="0.25">
      <c r="A27" s="131"/>
      <c r="B27" s="131"/>
      <c r="C27" s="131"/>
      <c r="D27" s="131"/>
    </row>
    <row r="28" spans="1:4" x14ac:dyDescent="0.25">
      <c r="A28" s="131"/>
      <c r="B28" s="131"/>
      <c r="C28" s="131"/>
      <c r="D28" s="131"/>
    </row>
    <row r="29" spans="1:4" x14ac:dyDescent="0.25">
      <c r="A29" s="131"/>
      <c r="B29" s="131"/>
      <c r="C29" s="131"/>
      <c r="D29" s="131"/>
    </row>
    <row r="30" spans="1:4" x14ac:dyDescent="0.25">
      <c r="A30" s="131"/>
      <c r="B30" s="131"/>
      <c r="C30" s="131"/>
      <c r="D30" s="131"/>
    </row>
    <row r="31" spans="1:4" x14ac:dyDescent="0.25">
      <c r="A31" s="131"/>
      <c r="B31" s="131"/>
      <c r="C31" s="131"/>
      <c r="D31" s="131"/>
    </row>
    <row r="32" spans="1:4" x14ac:dyDescent="0.25">
      <c r="A32" s="131"/>
      <c r="B32" s="131"/>
      <c r="C32" s="131"/>
      <c r="D32" s="131"/>
    </row>
    <row r="33" spans="1:4" x14ac:dyDescent="0.25">
      <c r="A33" s="131"/>
      <c r="B33" s="131"/>
      <c r="C33" s="131"/>
      <c r="D33" s="131"/>
    </row>
  </sheetData>
  <mergeCells count="7">
    <mergeCell ref="A24:D33"/>
    <mergeCell ref="A1:D1"/>
    <mergeCell ref="A3:D3"/>
    <mergeCell ref="A4:D4"/>
    <mergeCell ref="A5:D5"/>
    <mergeCell ref="A6:D6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64C4-2029-4EBE-B7AF-DB8A8D63AC89}">
  <sheetPr codeName="Hoja2">
    <tabColor theme="6"/>
  </sheetPr>
  <dimension ref="A1:L158"/>
  <sheetViews>
    <sheetView topLeftCell="A138" zoomScale="86" zoomScaleNormal="86" workbookViewId="0">
      <selection activeCell="D6" sqref="D6"/>
    </sheetView>
  </sheetViews>
  <sheetFormatPr baseColWidth="10" defaultRowHeight="15" x14ac:dyDescent="0.25"/>
  <cols>
    <col min="2" max="2" width="5.5703125" customWidth="1"/>
    <col min="8" max="8" width="5.140625" customWidth="1"/>
    <col min="12" max="12" width="11.42578125" customWidth="1"/>
  </cols>
  <sheetData>
    <row r="1" spans="1:12" ht="18.75" x14ac:dyDescent="0.3">
      <c r="A1" s="99" t="s">
        <v>18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</row>
    <row r="2" spans="1:12" ht="18.75" x14ac:dyDescent="0.3">
      <c r="A2" s="99"/>
      <c r="B2" s="99"/>
      <c r="C2" s="99"/>
      <c r="D2" s="99"/>
      <c r="E2" s="99"/>
      <c r="F2" s="99"/>
      <c r="G2" s="99"/>
      <c r="H2" s="99"/>
      <c r="I2" s="99"/>
      <c r="J2" s="99"/>
      <c r="K2" s="111"/>
      <c r="L2" s="111"/>
    </row>
    <row r="3" spans="1:12" ht="19.5" thickBot="1" x14ac:dyDescent="0.35">
      <c r="A3" s="106" t="str">
        <f>DIARIO!U3</f>
        <v>Caja Menuda</v>
      </c>
      <c r="B3" s="112"/>
      <c r="C3" s="106"/>
      <c r="D3" s="106"/>
      <c r="E3" s="106"/>
      <c r="F3" s="106"/>
      <c r="G3" s="106"/>
      <c r="H3" s="106"/>
      <c r="I3" s="107" t="s">
        <v>54</v>
      </c>
      <c r="J3" s="107"/>
      <c r="K3" s="108">
        <f>DIARIO!V3</f>
        <v>101</v>
      </c>
      <c r="L3" s="108"/>
    </row>
    <row r="4" spans="1:12" ht="17.25" x14ac:dyDescent="0.3">
      <c r="A4" s="21" t="s">
        <v>1</v>
      </c>
      <c r="B4" s="10"/>
      <c r="C4" s="22" t="s">
        <v>2</v>
      </c>
      <c r="D4" s="22" t="s">
        <v>51</v>
      </c>
      <c r="E4" s="109" t="s">
        <v>52</v>
      </c>
      <c r="F4" s="109"/>
      <c r="G4" s="22" t="s">
        <v>1</v>
      </c>
      <c r="H4" s="22"/>
      <c r="I4" s="22" t="s">
        <v>2</v>
      </c>
      <c r="J4" s="22" t="s">
        <v>51</v>
      </c>
      <c r="K4" s="109" t="s">
        <v>53</v>
      </c>
      <c r="L4" s="110"/>
    </row>
    <row r="5" spans="1:12" ht="17.25" x14ac:dyDescent="0.3">
      <c r="A5" s="18" t="s">
        <v>64</v>
      </c>
      <c r="B5" s="41">
        <v>3</v>
      </c>
      <c r="C5" s="10"/>
      <c r="D5" s="10">
        <v>80</v>
      </c>
      <c r="E5" s="104">
        <v>300</v>
      </c>
      <c r="F5" s="104"/>
      <c r="G5" s="11"/>
      <c r="H5" s="11"/>
      <c r="I5" s="10"/>
      <c r="J5" s="10" t="str">
        <f>IF(H5&lt;&gt;"",RIGHT(DIARIO!F1,LEN(DIARIO!F1)-1),"")</f>
        <v/>
      </c>
      <c r="K5" s="104"/>
      <c r="L5" s="104"/>
    </row>
    <row r="6" spans="1:12" ht="17.25" x14ac:dyDescent="0.3">
      <c r="A6" s="11"/>
      <c r="B6" s="11"/>
      <c r="C6" s="11"/>
      <c r="D6" s="10" t="str">
        <f>IF(B6&lt;&gt;"",RIGHT(DIARIO!F2,LEN(DIARIO!F2)-1),"")</f>
        <v/>
      </c>
      <c r="E6" s="104"/>
      <c r="F6" s="104"/>
      <c r="G6" s="11"/>
      <c r="H6" s="11"/>
      <c r="I6" s="11"/>
      <c r="J6" s="10" t="str">
        <f>IF(H6&lt;&gt;"",RIGHT(DIARIO!F2,LEN(DIARIO!F2)-1),"")</f>
        <v/>
      </c>
      <c r="K6" s="104"/>
      <c r="L6" s="104"/>
    </row>
    <row r="7" spans="1:12" ht="17.25" x14ac:dyDescent="0.3">
      <c r="A7" s="11"/>
      <c r="B7" s="11"/>
      <c r="C7" s="11"/>
      <c r="D7" s="10" t="str">
        <f>IF(B7&lt;&gt;"",RIGHT(DIARIO!F3,LEN(DIARIO!F3)-1),"")</f>
        <v/>
      </c>
      <c r="E7" s="104"/>
      <c r="F7" s="104"/>
      <c r="G7" s="11"/>
      <c r="H7" s="11"/>
      <c r="I7" s="11"/>
      <c r="J7" s="10" t="str">
        <f>IF(H7&lt;&gt;"",RIGHT(DIARIO!F3,LEN(DIARIO!F3)-1),"")</f>
        <v/>
      </c>
      <c r="K7" s="104"/>
      <c r="L7" s="104"/>
    </row>
    <row r="8" spans="1:12" ht="17.25" x14ac:dyDescent="0.3">
      <c r="A8" s="11"/>
      <c r="B8" s="11"/>
      <c r="C8" s="11"/>
      <c r="D8" s="10" t="str">
        <f>IF(B8&lt;&gt;"",RIGHT(DIARIO!F4,LEN(DIARIO!F4)-1),"")</f>
        <v/>
      </c>
      <c r="E8" s="104"/>
      <c r="F8" s="104"/>
      <c r="G8" s="11"/>
      <c r="H8" s="11"/>
      <c r="I8" s="11"/>
      <c r="J8" s="10" t="str">
        <f>IF(H8&lt;&gt;"",RIGHT(DIARIO!F4,LEN(DIARIO!F4)-1),"")</f>
        <v/>
      </c>
      <c r="K8" s="104"/>
      <c r="L8" s="104"/>
    </row>
    <row r="9" spans="1:12" ht="17.25" x14ac:dyDescent="0.3">
      <c r="A9" s="11"/>
      <c r="B9" s="11"/>
      <c r="C9" s="11"/>
      <c r="D9" s="10" t="str">
        <f>IF(B9&lt;&gt;"",RIGHT(DIARIO!F5,LEN(DIARIO!F5)-1),"")</f>
        <v/>
      </c>
      <c r="E9" s="104"/>
      <c r="F9" s="104"/>
      <c r="G9" s="11"/>
      <c r="H9" s="11"/>
      <c r="I9" s="11"/>
      <c r="J9" s="10" t="str">
        <f>IF(H9&lt;&gt;"",RIGHT(DIARIO!F5,LEN(DIARIO!F5)-1),"")</f>
        <v/>
      </c>
      <c r="K9" s="104"/>
      <c r="L9" s="104"/>
    </row>
    <row r="10" spans="1:12" ht="17.25" x14ac:dyDescent="0.3">
      <c r="A10" s="11"/>
      <c r="B10" s="11"/>
      <c r="C10" s="11"/>
      <c r="D10" s="10" t="str">
        <f>IF(B10&lt;&gt;"",RIGHT(DIARIO!F6,LEN(DIARIO!F6)-1),"")</f>
        <v/>
      </c>
      <c r="E10" s="104"/>
      <c r="F10" s="104"/>
      <c r="G10" s="11"/>
      <c r="H10" s="11"/>
      <c r="I10" s="11"/>
      <c r="J10" s="10" t="str">
        <f>IF(H10&lt;&gt;"",RIGHT(DIARIO!F6,LEN(DIARIO!F6)-1),"")</f>
        <v/>
      </c>
      <c r="K10" s="104"/>
      <c r="L10" s="104"/>
    </row>
    <row r="11" spans="1:12" ht="17.25" x14ac:dyDescent="0.3">
      <c r="A11" s="11"/>
      <c r="B11" s="11"/>
      <c r="C11" s="11"/>
      <c r="D11" s="10" t="str">
        <f>IF(B11&lt;&gt;"",RIGHT(DIARIO!F7,LEN(DIARIO!F7)-1),"")</f>
        <v/>
      </c>
      <c r="E11" s="104"/>
      <c r="F11" s="104"/>
      <c r="G11" s="11"/>
      <c r="H11" s="11"/>
      <c r="I11" s="11"/>
      <c r="J11" s="10" t="str">
        <f>IF(H11&lt;&gt;"",RIGHT(DIARIO!F7,LEN(DIARIO!F7)-1),"")</f>
        <v/>
      </c>
      <c r="K11" s="104"/>
      <c r="L11" s="104"/>
    </row>
    <row r="12" spans="1:12" ht="17.25" x14ac:dyDescent="0.3">
      <c r="A12" s="11"/>
      <c r="B12" s="11"/>
      <c r="C12" s="11"/>
      <c r="D12" s="10" t="str">
        <f>IF(B12&lt;&gt;"",RIGHT(DIARIO!F8,LEN(DIARIO!F8)-1),"")</f>
        <v/>
      </c>
      <c r="E12" s="104"/>
      <c r="F12" s="104"/>
      <c r="G12" s="11"/>
      <c r="H12" s="11"/>
      <c r="I12" s="11"/>
      <c r="J12" s="10" t="str">
        <f>IF(H12&lt;&gt;"",RIGHT(DIARIO!F8,LEN(DIARIO!F8)-1),"")</f>
        <v/>
      </c>
      <c r="K12" s="104"/>
      <c r="L12" s="104"/>
    </row>
    <row r="13" spans="1:12" x14ac:dyDescent="0.25">
      <c r="A13" s="17"/>
    </row>
    <row r="14" spans="1:12" ht="19.5" thickBot="1" x14ac:dyDescent="0.35">
      <c r="A14" s="106" t="str">
        <f>DIARIO!U4</f>
        <v>Banco</v>
      </c>
      <c r="B14" s="112"/>
      <c r="C14" s="106"/>
      <c r="D14" s="106"/>
      <c r="E14" s="106"/>
      <c r="F14" s="106"/>
      <c r="G14" s="106"/>
      <c r="H14" s="106"/>
      <c r="I14" s="107" t="s">
        <v>54</v>
      </c>
      <c r="J14" s="107"/>
      <c r="K14" s="108">
        <f>DIARIO!V4</f>
        <v>110</v>
      </c>
      <c r="L14" s="108"/>
    </row>
    <row r="15" spans="1:12" ht="17.25" x14ac:dyDescent="0.3">
      <c r="A15" s="21" t="s">
        <v>1</v>
      </c>
      <c r="B15" s="10"/>
      <c r="C15" s="22" t="s">
        <v>2</v>
      </c>
      <c r="D15" s="22" t="s">
        <v>51</v>
      </c>
      <c r="E15" s="109" t="s">
        <v>52</v>
      </c>
      <c r="F15" s="109"/>
      <c r="G15" s="22" t="s">
        <v>1</v>
      </c>
      <c r="H15" s="22"/>
      <c r="I15" s="22" t="s">
        <v>2</v>
      </c>
      <c r="J15" s="22" t="s">
        <v>51</v>
      </c>
      <c r="K15" s="109" t="s">
        <v>53</v>
      </c>
      <c r="L15" s="110"/>
    </row>
    <row r="16" spans="1:12" ht="17.25" x14ac:dyDescent="0.3">
      <c r="A16" s="18" t="s">
        <v>64</v>
      </c>
      <c r="B16" s="7">
        <v>1</v>
      </c>
      <c r="C16" s="10"/>
      <c r="D16" s="11" t="str">
        <f>IF(B16&lt;&gt;"",RIGHT(DIARIO!$F$1,LEN(DIARIO!$F$1)-1),"")</f>
        <v>80</v>
      </c>
      <c r="E16" s="113">
        <v>185000</v>
      </c>
      <c r="F16" s="114"/>
      <c r="G16" s="11" t="s">
        <v>64</v>
      </c>
      <c r="H16" s="8">
        <v>3</v>
      </c>
      <c r="I16" s="10"/>
      <c r="J16" s="10" t="str">
        <f>IF(H16&lt;&gt;"",RIGHT(DIARIO!$F$1,LEN(DIARIO!$F$1)-1),"")</f>
        <v>80</v>
      </c>
      <c r="K16" s="113">
        <v>300</v>
      </c>
      <c r="L16" s="114"/>
    </row>
    <row r="17" spans="1:12" ht="17.25" x14ac:dyDescent="0.3">
      <c r="A17" s="18"/>
      <c r="B17" s="7">
        <v>13</v>
      </c>
      <c r="C17" s="11"/>
      <c r="D17" s="11" t="str">
        <f>IF(B17&lt;&gt;"",RIGHT(DIARIO!$F$1,LEN(DIARIO!$F$1)-1),"")</f>
        <v>80</v>
      </c>
      <c r="E17" s="113">
        <v>3787.8</v>
      </c>
      <c r="F17" s="114"/>
      <c r="G17" s="11"/>
      <c r="H17" s="6">
        <v>5</v>
      </c>
      <c r="I17" s="11"/>
      <c r="J17" s="10" t="str">
        <f>IF(H17&lt;&gt;"",RIGHT(DIARIO!$F$1,LEN(DIARIO!$F$1)-1),"")</f>
        <v>80</v>
      </c>
      <c r="K17" s="129">
        <v>5992</v>
      </c>
      <c r="L17" s="130">
        <v>5992</v>
      </c>
    </row>
    <row r="18" spans="1:12" ht="17.25" x14ac:dyDescent="0.3">
      <c r="A18" s="18"/>
      <c r="B18" s="7">
        <v>23</v>
      </c>
      <c r="C18" s="11"/>
      <c r="D18" s="11" t="str">
        <f>IF(B18&lt;&gt;"",RIGHT(DIARIO!$F$1,LEN(DIARIO!$F$1)-1),"")</f>
        <v>80</v>
      </c>
      <c r="E18" s="113">
        <v>8838.2000000000007</v>
      </c>
      <c r="F18" s="114"/>
      <c r="G18" s="11"/>
      <c r="H18" s="6">
        <v>15</v>
      </c>
      <c r="I18" s="11"/>
      <c r="J18" s="10" t="str">
        <f>IF(H18&lt;&gt;"",RIGHT(DIARIO!$F$1,LEN(DIARIO!$F$1)-1),"")</f>
        <v>80</v>
      </c>
      <c r="K18" s="129">
        <v>5900</v>
      </c>
      <c r="L18" s="130">
        <v>5900</v>
      </c>
    </row>
    <row r="19" spans="1:12" ht="17.25" x14ac:dyDescent="0.3">
      <c r="A19" s="11"/>
      <c r="B19" s="11"/>
      <c r="C19" s="11"/>
      <c r="D19" s="11" t="str">
        <f>IF(B19&lt;&gt;"",RIGHT(DIARIO!F4,LEN(DIARIO!F4)-1),"")</f>
        <v/>
      </c>
      <c r="E19" s="104"/>
      <c r="F19" s="104"/>
      <c r="G19" s="11"/>
      <c r="H19" s="7">
        <v>19</v>
      </c>
      <c r="I19" s="11"/>
      <c r="J19" s="10" t="str">
        <f>IF(H19&lt;&gt;"",RIGHT(DIARIO!$F$1,LEN(DIARIO!$F$1)-1),"")</f>
        <v>80</v>
      </c>
      <c r="K19" s="129">
        <v>749</v>
      </c>
      <c r="L19" s="130">
        <v>749</v>
      </c>
    </row>
    <row r="20" spans="1:12" ht="17.25" x14ac:dyDescent="0.3">
      <c r="A20" s="11"/>
      <c r="B20" s="11"/>
      <c r="C20" s="11"/>
      <c r="D20" s="11" t="str">
        <f>IF(B20&lt;&gt;"",RIGHT(DIARIO!F5,LEN(DIARIO!F5)-1),"")</f>
        <v/>
      </c>
      <c r="E20" s="104"/>
      <c r="F20" s="104"/>
      <c r="G20" s="11"/>
      <c r="H20" s="6">
        <v>23</v>
      </c>
      <c r="I20" s="11"/>
      <c r="J20" s="10" t="str">
        <f>IF(H20&lt;&gt;"",RIGHT(DIARIO!$F$1,LEN(DIARIO!$F$1)-1),"")</f>
        <v>80</v>
      </c>
      <c r="K20" s="129">
        <v>1500</v>
      </c>
      <c r="L20" s="130">
        <v>1500</v>
      </c>
    </row>
    <row r="21" spans="1:12" ht="17.25" x14ac:dyDescent="0.3">
      <c r="A21" s="11"/>
      <c r="B21" s="11"/>
      <c r="C21" s="11"/>
      <c r="D21" s="11" t="str">
        <f>IF(B21&lt;&gt;"",RIGHT(DIARIO!F6,LEN(DIARIO!F6)-1),"")</f>
        <v/>
      </c>
      <c r="E21" s="104"/>
      <c r="F21" s="104"/>
      <c r="G21" s="11"/>
      <c r="H21" s="6">
        <v>28</v>
      </c>
      <c r="I21" s="11"/>
      <c r="J21" s="10" t="str">
        <f>IF(H21&lt;&gt;"",RIGHT(DIARIO!$F$1,LEN(DIARIO!$F$1)-1),"")</f>
        <v>80</v>
      </c>
      <c r="K21" s="129">
        <v>580</v>
      </c>
      <c r="L21" s="130">
        <v>580</v>
      </c>
    </row>
    <row r="22" spans="1:12" ht="17.25" x14ac:dyDescent="0.3">
      <c r="A22" s="11"/>
      <c r="B22" s="11"/>
      <c r="C22" s="11"/>
      <c r="D22" s="11" t="str">
        <f>IF(B22&lt;&gt;"",RIGHT(DIARIO!F7,LEN(DIARIO!F7)-1),"")</f>
        <v/>
      </c>
      <c r="E22" s="104"/>
      <c r="F22" s="104"/>
      <c r="G22" s="11"/>
      <c r="H22" s="11"/>
      <c r="I22" s="11"/>
      <c r="J22" s="10" t="str">
        <f>IF(H22&lt;&gt;"",RIGHT(DIARIO!$F$1,LEN(DIARIO!$F$1)-1),"")</f>
        <v/>
      </c>
      <c r="K22" s="113"/>
      <c r="L22" s="114"/>
    </row>
    <row r="23" spans="1:12" ht="17.25" x14ac:dyDescent="0.3">
      <c r="A23" s="11"/>
      <c r="B23" s="11"/>
      <c r="C23" s="11"/>
      <c r="D23" s="11" t="str">
        <f>IF(B23&lt;&gt;"",RIGHT(DIARIO!F8,LEN(DIARIO!F8)-1),"")</f>
        <v/>
      </c>
      <c r="E23" s="104"/>
      <c r="F23" s="104"/>
      <c r="G23" s="11"/>
      <c r="H23" s="11"/>
      <c r="I23" s="11"/>
      <c r="J23" s="10" t="str">
        <f>IF(H23&lt;&gt;"",RIGHT(DIARIO!F15,LEN(DIARIO!F15)-1),"")</f>
        <v/>
      </c>
      <c r="K23" s="104"/>
      <c r="L23" s="104"/>
    </row>
    <row r="24" spans="1:12" ht="17.25" x14ac:dyDescent="0.3">
      <c r="A24" s="11"/>
      <c r="B24" s="19"/>
      <c r="C24" s="19"/>
      <c r="D24" s="11" t="str">
        <f>IF(B24&lt;&gt;"",RIGHT(DIARIO!F16,LEN(DIARIO!F16)-1),"")</f>
        <v/>
      </c>
      <c r="E24" s="104"/>
      <c r="F24" s="104"/>
      <c r="G24" s="11"/>
      <c r="H24" s="11"/>
      <c r="I24" s="11"/>
      <c r="J24" s="10" t="str">
        <f>IF(H24&lt;&gt;"",RIGHT(DIARIO!F16,LEN(DIARIO!F16)-1),"")</f>
        <v/>
      </c>
      <c r="K24" s="115"/>
      <c r="L24" s="115"/>
    </row>
    <row r="25" spans="1:12" ht="17.25" x14ac:dyDescent="0.3">
      <c r="D25" s="57"/>
    </row>
    <row r="26" spans="1:12" ht="18.75" x14ac:dyDescent="0.3">
      <c r="A26" s="106" t="str">
        <f>DIARIO!U5</f>
        <v>Cuentas por Cobrar</v>
      </c>
      <c r="B26" s="106"/>
      <c r="C26" s="106"/>
      <c r="D26" s="106"/>
      <c r="E26" s="106"/>
      <c r="F26" s="106"/>
      <c r="G26" s="106"/>
      <c r="H26" s="106"/>
      <c r="I26" s="107" t="s">
        <v>54</v>
      </c>
      <c r="J26" s="107"/>
      <c r="K26" s="108">
        <f>DIARIO!V5</f>
        <v>112</v>
      </c>
      <c r="L26" s="108"/>
    </row>
    <row r="27" spans="1:12" ht="17.25" x14ac:dyDescent="0.3">
      <c r="A27" s="58" t="s">
        <v>1</v>
      </c>
      <c r="B27" s="59"/>
      <c r="C27" s="59" t="s">
        <v>2</v>
      </c>
      <c r="D27" s="59" t="s">
        <v>51</v>
      </c>
      <c r="E27" s="116" t="s">
        <v>52</v>
      </c>
      <c r="F27" s="116"/>
      <c r="G27" s="59" t="s">
        <v>1</v>
      </c>
      <c r="H27" s="59"/>
      <c r="I27" s="59" t="s">
        <v>2</v>
      </c>
      <c r="J27" s="59" t="s">
        <v>51</v>
      </c>
      <c r="K27" s="116" t="s">
        <v>53</v>
      </c>
      <c r="L27" s="117"/>
    </row>
    <row r="28" spans="1:12" ht="17.25" x14ac:dyDescent="0.3">
      <c r="A28" s="18" t="s">
        <v>64</v>
      </c>
      <c r="B28" s="10">
        <v>13</v>
      </c>
      <c r="C28" s="10"/>
      <c r="D28" s="10" t="str">
        <f>IF(B28&lt;&gt;"",RIGHT(DIARIO!$F$1,LEN(DIARIO!$F$1)-1),"")</f>
        <v>80</v>
      </c>
      <c r="E28" s="105">
        <f>(11800+11800*7%)*70%</f>
        <v>8838.1999999999989</v>
      </c>
      <c r="F28" s="105"/>
      <c r="G28" s="11" t="s">
        <v>64</v>
      </c>
      <c r="H28" s="11">
        <v>13</v>
      </c>
      <c r="I28" s="10"/>
      <c r="J28" s="10" t="str">
        <f>IF(H28&lt;&gt;"",RIGHT(DIARIO!$F$1,LEN(DIARIO!$F$1)-1),"")</f>
        <v>80</v>
      </c>
      <c r="K28" s="105">
        <f>(11800+11800*7%)*70%</f>
        <v>8838.1999999999989</v>
      </c>
      <c r="L28" s="105"/>
    </row>
    <row r="29" spans="1:12" ht="17.25" x14ac:dyDescent="0.3">
      <c r="A29" s="11"/>
      <c r="B29" s="11"/>
      <c r="C29" s="11"/>
      <c r="D29" s="10" t="str">
        <f>IF(B29&lt;&gt;"",RIGHT(DIARIO!$F$1,LEN(DIARIO!$F$1)-1),"")</f>
        <v/>
      </c>
      <c r="E29" s="104"/>
      <c r="F29" s="104"/>
      <c r="G29" s="11"/>
      <c r="H29" s="11"/>
      <c r="I29" s="11"/>
      <c r="J29" s="10" t="str">
        <f>IF(H29&lt;&gt;"",RIGHT(DIARIO!$F$1,LEN(DIARIO!$F$1)-1),"")</f>
        <v/>
      </c>
      <c r="K29" s="104"/>
      <c r="L29" s="104"/>
    </row>
    <row r="30" spans="1:12" ht="17.25" x14ac:dyDescent="0.3">
      <c r="A30" s="11"/>
      <c r="B30" s="11"/>
      <c r="C30" s="11"/>
      <c r="D30" s="10" t="str">
        <f>IF(B30&lt;&gt;"",RIGHT(DIARIO!$F$1,LEN(DIARIO!$F$1)-1),"")</f>
        <v/>
      </c>
      <c r="E30" s="104"/>
      <c r="F30" s="104"/>
      <c r="G30" s="11"/>
      <c r="H30" s="11"/>
      <c r="I30" s="11"/>
      <c r="J30" s="10" t="str">
        <f>IF(H30&lt;&gt;"",RIGHT(DIARIO!$F$1,LEN(DIARIO!$F$1)-1),"")</f>
        <v/>
      </c>
      <c r="K30" s="104"/>
      <c r="L30" s="104"/>
    </row>
    <row r="31" spans="1:12" ht="17.25" x14ac:dyDescent="0.3">
      <c r="A31" s="11"/>
      <c r="B31" s="11"/>
      <c r="C31" s="11"/>
      <c r="D31" s="10" t="str">
        <f>IF(B31&lt;&gt;"",RIGHT(DIARIO!$F$1,LEN(DIARIO!$F$1)-1),"")</f>
        <v/>
      </c>
      <c r="E31" s="104"/>
      <c r="F31" s="104"/>
      <c r="G31" s="11"/>
      <c r="H31" s="11"/>
      <c r="I31" s="11"/>
      <c r="J31" s="10" t="str">
        <f>IF(H31&lt;&gt;"",RIGHT(DIARIO!$F$1,LEN(DIARIO!$F$1)-1),"")</f>
        <v/>
      </c>
      <c r="K31" s="104"/>
      <c r="L31" s="104"/>
    </row>
    <row r="32" spans="1:12" ht="17.25" x14ac:dyDescent="0.3">
      <c r="A32" s="11"/>
      <c r="B32" s="11"/>
      <c r="C32" s="11"/>
      <c r="D32" s="10" t="str">
        <f>IF(B32&lt;&gt;"",RIGHT(DIARIO!$F$1,LEN(DIARIO!$F$1)-1),"")</f>
        <v/>
      </c>
      <c r="E32" s="104"/>
      <c r="F32" s="104"/>
      <c r="G32" s="11"/>
      <c r="H32" s="11"/>
      <c r="I32" s="11"/>
      <c r="J32" s="10" t="str">
        <f>IF(H32&lt;&gt;"",RIGHT(DIARIO!$F$1,LEN(DIARIO!$F$1)-1),"")</f>
        <v/>
      </c>
      <c r="K32" s="104"/>
      <c r="L32" s="104"/>
    </row>
    <row r="33" spans="1:12" ht="17.25" x14ac:dyDescent="0.3">
      <c r="A33" s="11"/>
      <c r="B33" s="11"/>
      <c r="C33" s="11"/>
      <c r="D33" s="10" t="str">
        <f>IF(B33&lt;&gt;"",RIGHT(DIARIO!$F$1,LEN(DIARIO!$F$1)-1),"")</f>
        <v/>
      </c>
      <c r="E33" s="104"/>
      <c r="F33" s="104"/>
      <c r="G33" s="11"/>
      <c r="H33" s="11"/>
      <c r="I33" s="11"/>
      <c r="J33" s="10" t="str">
        <f>IF(H33&lt;&gt;"",RIGHT(DIARIO!$F$1,LEN(DIARIO!$F$1)-1),"")</f>
        <v/>
      </c>
      <c r="K33" s="104"/>
      <c r="L33" s="104"/>
    </row>
    <row r="34" spans="1:12" ht="17.25" x14ac:dyDescent="0.3">
      <c r="A34" s="11"/>
      <c r="B34" s="11"/>
      <c r="C34" s="11"/>
      <c r="D34" s="10" t="str">
        <f>IF(B34&lt;&gt;"",RIGHT(DIARIO!$F$1,LEN(DIARIO!$F$1)-1),"")</f>
        <v/>
      </c>
      <c r="E34" s="104"/>
      <c r="F34" s="104"/>
      <c r="G34" s="11"/>
      <c r="H34" s="11"/>
      <c r="I34" s="11"/>
      <c r="J34" s="10" t="str">
        <f>IF(H34&lt;&gt;"",RIGHT(DIARIO!$F$1,LEN(DIARIO!$F$1)-1),"")</f>
        <v/>
      </c>
      <c r="K34" s="104"/>
      <c r="L34" s="104"/>
    </row>
    <row r="35" spans="1:12" ht="17.25" x14ac:dyDescent="0.3">
      <c r="A35" s="11"/>
      <c r="B35" s="11"/>
      <c r="C35" s="11"/>
      <c r="D35" s="10" t="str">
        <f>IF(B35&lt;&gt;"",RIGHT(DIARIO!$F$1,LEN(DIARIO!$F$1)-1),"")</f>
        <v/>
      </c>
      <c r="E35" s="104"/>
      <c r="F35" s="104"/>
      <c r="G35" s="11"/>
      <c r="H35" s="11"/>
      <c r="I35" s="11"/>
      <c r="J35" s="10" t="str">
        <f>IF(H35&lt;&gt;"",RIGHT(DIARIO!$F$1,LEN(DIARIO!$F$1)-1),"")</f>
        <v/>
      </c>
      <c r="K35" s="104"/>
      <c r="L35" s="104"/>
    </row>
    <row r="36" spans="1:12" ht="17.25" x14ac:dyDescent="0.3">
      <c r="A36" s="11"/>
      <c r="B36" s="19"/>
      <c r="C36" s="19"/>
      <c r="D36" s="10" t="str">
        <f>IF(B36&lt;&gt;"",RIGHT(DIARIO!$F$1,LEN(DIARIO!$F$1)-1),"")</f>
        <v/>
      </c>
      <c r="E36" s="104"/>
      <c r="F36" s="104"/>
      <c r="G36" s="11"/>
      <c r="H36" s="11"/>
      <c r="I36" s="11"/>
      <c r="J36" s="10" t="str">
        <f>IF(H36&lt;&gt;"",RIGHT(DIARIO!$F$1,LEN(DIARIO!$F$1)-1),"")</f>
        <v/>
      </c>
      <c r="K36" s="115"/>
      <c r="L36" s="115"/>
    </row>
    <row r="37" spans="1:12" x14ac:dyDescent="0.25">
      <c r="A37" s="17"/>
    </row>
    <row r="38" spans="1:12" ht="19.5" thickBot="1" x14ac:dyDescent="0.35">
      <c r="A38" s="106" t="str">
        <f>DIARIO!U6</f>
        <v>Mobiliario de Oficina</v>
      </c>
      <c r="B38" s="106"/>
      <c r="C38" s="106"/>
      <c r="D38" s="106"/>
      <c r="E38" s="106"/>
      <c r="F38" s="106"/>
      <c r="G38" s="106"/>
      <c r="H38" s="106"/>
      <c r="I38" s="107" t="s">
        <v>54</v>
      </c>
      <c r="J38" s="107"/>
      <c r="K38" s="108">
        <f>DIARIO!V6</f>
        <v>140</v>
      </c>
      <c r="L38" s="108"/>
    </row>
    <row r="39" spans="1:12" ht="17.25" x14ac:dyDescent="0.3">
      <c r="A39" s="21" t="s">
        <v>1</v>
      </c>
      <c r="B39" s="22"/>
      <c r="C39" s="22" t="s">
        <v>2</v>
      </c>
      <c r="D39" s="22" t="s">
        <v>51</v>
      </c>
      <c r="E39" s="109" t="s">
        <v>52</v>
      </c>
      <c r="F39" s="109"/>
      <c r="G39" s="22" t="s">
        <v>1</v>
      </c>
      <c r="H39" s="22"/>
      <c r="I39" s="22" t="s">
        <v>2</v>
      </c>
      <c r="J39" s="22" t="s">
        <v>51</v>
      </c>
      <c r="K39" s="109" t="s">
        <v>53</v>
      </c>
      <c r="L39" s="110"/>
    </row>
    <row r="40" spans="1:12" ht="17.25" x14ac:dyDescent="0.3">
      <c r="A40" s="18" t="s">
        <v>64</v>
      </c>
      <c r="B40" s="10">
        <v>3</v>
      </c>
      <c r="C40" s="10"/>
      <c r="D40" s="10" t="str">
        <f>IF(B40&lt;&gt;"",RIGHT(DIARIO!$F$1,LEN(DIARIO!$F$1)-1),"")</f>
        <v>80</v>
      </c>
      <c r="E40" s="118">
        <v>3400</v>
      </c>
      <c r="F40" s="119"/>
      <c r="G40" s="11"/>
      <c r="H40" s="11"/>
      <c r="I40" s="10"/>
      <c r="J40" s="10" t="str">
        <f>IF(H40&lt;&gt;"",RIGHT(DIARIO!$F$1,LEN(DIARIO!$F$1)-1),"")</f>
        <v/>
      </c>
      <c r="K40" s="104"/>
      <c r="L40" s="104"/>
    </row>
    <row r="41" spans="1:12" ht="17.25" x14ac:dyDescent="0.3">
      <c r="A41" s="11"/>
      <c r="B41" s="11"/>
      <c r="C41" s="11"/>
      <c r="D41" s="10" t="str">
        <f>IF(B41&lt;&gt;"",RIGHT(DIARIO!$F$1,LEN(DIARIO!$F$1)-1),"")</f>
        <v/>
      </c>
      <c r="E41" s="118"/>
      <c r="F41" s="119"/>
      <c r="G41" s="11"/>
      <c r="H41" s="11"/>
      <c r="I41" s="11"/>
      <c r="J41" s="10" t="str">
        <f>IF(H41&lt;&gt;"",RIGHT(DIARIO!$F$1,LEN(DIARIO!$F$1)-1),"")</f>
        <v/>
      </c>
      <c r="K41" s="104"/>
      <c r="L41" s="104"/>
    </row>
    <row r="42" spans="1:12" ht="17.25" x14ac:dyDescent="0.3">
      <c r="A42" s="11"/>
      <c r="B42" s="11"/>
      <c r="C42" s="11"/>
      <c r="D42" s="10" t="str">
        <f>IF(B42&lt;&gt;"",RIGHT(DIARIO!$F$1,LEN(DIARIO!$F$1)-1),"")</f>
        <v/>
      </c>
      <c r="E42" s="104"/>
      <c r="F42" s="104"/>
      <c r="G42" s="11"/>
      <c r="H42" s="11"/>
      <c r="I42" s="11"/>
      <c r="J42" s="10" t="str">
        <f>IF(H42&lt;&gt;"",RIGHT(DIARIO!$F$1,LEN(DIARIO!$F$1)-1),"")</f>
        <v/>
      </c>
      <c r="K42" s="104"/>
      <c r="L42" s="104"/>
    </row>
    <row r="43" spans="1:12" ht="17.25" x14ac:dyDescent="0.3">
      <c r="A43" s="11"/>
      <c r="B43" s="11"/>
      <c r="C43" s="11"/>
      <c r="D43" s="10" t="str">
        <f>IF(B43&lt;&gt;"",RIGHT(DIARIO!$F$1,LEN(DIARIO!$F$1)-1),"")</f>
        <v/>
      </c>
      <c r="E43" s="104"/>
      <c r="F43" s="104"/>
      <c r="G43" s="11"/>
      <c r="H43" s="11"/>
      <c r="I43" s="11"/>
      <c r="J43" s="10" t="str">
        <f>IF(H43&lt;&gt;"",RIGHT(DIARIO!$F$1,LEN(DIARIO!$F$1)-1),"")</f>
        <v/>
      </c>
      <c r="K43" s="104"/>
      <c r="L43" s="104"/>
    </row>
    <row r="44" spans="1:12" ht="17.25" x14ac:dyDescent="0.3">
      <c r="A44" s="11"/>
      <c r="B44" s="11"/>
      <c r="C44" s="11"/>
      <c r="D44" s="10" t="str">
        <f>IF(B44&lt;&gt;"",RIGHT(DIARIO!$F$1,LEN(DIARIO!$F$1)-1),"")</f>
        <v/>
      </c>
      <c r="E44" s="104"/>
      <c r="F44" s="104"/>
      <c r="G44" s="11"/>
      <c r="H44" s="11"/>
      <c r="I44" s="11"/>
      <c r="J44" s="10" t="str">
        <f>IF(H44&lt;&gt;"",RIGHT(DIARIO!$F$1,LEN(DIARIO!$F$1)-1),"")</f>
        <v/>
      </c>
      <c r="K44" s="104"/>
      <c r="L44" s="104"/>
    </row>
    <row r="45" spans="1:12" ht="17.25" x14ac:dyDescent="0.3">
      <c r="A45" s="11"/>
      <c r="B45" s="11"/>
      <c r="C45" s="11"/>
      <c r="D45" s="10" t="str">
        <f>IF(B45&lt;&gt;"",RIGHT(DIARIO!$F$1,LEN(DIARIO!$F$1)-1),"")</f>
        <v/>
      </c>
      <c r="E45" s="104"/>
      <c r="F45" s="104"/>
      <c r="G45" s="11"/>
      <c r="H45" s="11"/>
      <c r="I45" s="11"/>
      <c r="J45" s="10" t="str">
        <f>IF(H45&lt;&gt;"",RIGHT(DIARIO!$F$1,LEN(DIARIO!$F$1)-1),"")</f>
        <v/>
      </c>
      <c r="K45" s="104"/>
      <c r="L45" s="104"/>
    </row>
    <row r="46" spans="1:12" ht="17.25" x14ac:dyDescent="0.3">
      <c r="A46" s="11"/>
      <c r="B46" s="11"/>
      <c r="C46" s="11"/>
      <c r="D46" s="10" t="str">
        <f>IF(B46&lt;&gt;"",RIGHT(DIARIO!$F$1,LEN(DIARIO!$F$1)-1),"")</f>
        <v/>
      </c>
      <c r="E46" s="104"/>
      <c r="F46" s="104"/>
      <c r="G46" s="11"/>
      <c r="H46" s="11"/>
      <c r="I46" s="11"/>
      <c r="J46" s="10" t="str">
        <f>IF(H46&lt;&gt;"",RIGHT(DIARIO!$F$1,LEN(DIARIO!$F$1)-1),"")</f>
        <v/>
      </c>
      <c r="K46" s="104"/>
      <c r="L46" s="104"/>
    </row>
    <row r="47" spans="1:12" ht="17.25" x14ac:dyDescent="0.3">
      <c r="A47" s="11"/>
      <c r="B47" s="11"/>
      <c r="C47" s="11"/>
      <c r="D47" s="10" t="str">
        <f>IF(B47&lt;&gt;"",RIGHT(DIARIO!$F$1,LEN(DIARIO!$F$1)-1),"")</f>
        <v/>
      </c>
      <c r="E47" s="104"/>
      <c r="F47" s="104"/>
      <c r="G47" s="11"/>
      <c r="H47" s="11"/>
      <c r="I47" s="11"/>
      <c r="J47" s="10" t="str">
        <f>IF(H47&lt;&gt;"",RIGHT(DIARIO!$F$1,LEN(DIARIO!$F$1)-1),"")</f>
        <v/>
      </c>
      <c r="K47" s="104"/>
      <c r="L47" s="104"/>
    </row>
    <row r="48" spans="1:12" ht="17.25" x14ac:dyDescent="0.3">
      <c r="A48" s="11"/>
      <c r="B48" s="19"/>
      <c r="C48" s="19"/>
      <c r="D48" s="10" t="str">
        <f>IF(B48&lt;&gt;"",RIGHT(DIARIO!$F$1,LEN(DIARIO!$F$1)-1),"")</f>
        <v/>
      </c>
      <c r="E48" s="104"/>
      <c r="F48" s="104"/>
      <c r="G48" s="11"/>
      <c r="H48" s="11"/>
      <c r="I48" s="11"/>
      <c r="J48" s="10" t="str">
        <f>IF(H48&lt;&gt;"",RIGHT(DIARIO!$F$1,LEN(DIARIO!$F$1)-1),"")</f>
        <v/>
      </c>
      <c r="K48" s="115"/>
      <c r="L48" s="115"/>
    </row>
    <row r="49" spans="1:12" x14ac:dyDescent="0.25">
      <c r="A49" s="17"/>
    </row>
    <row r="50" spans="1:12" ht="19.5" thickBot="1" x14ac:dyDescent="0.35">
      <c r="A50" s="106" t="str">
        <f>DIARIO!U7</f>
        <v>Equipo de Oficina</v>
      </c>
      <c r="B50" s="106"/>
      <c r="C50" s="106"/>
      <c r="D50" s="106"/>
      <c r="E50" s="106"/>
      <c r="F50" s="106"/>
      <c r="G50" s="106"/>
      <c r="H50" s="106"/>
      <c r="I50" s="107" t="s">
        <v>54</v>
      </c>
      <c r="J50" s="107"/>
      <c r="K50" s="108">
        <f>DIARIO!V7</f>
        <v>150</v>
      </c>
      <c r="L50" s="108"/>
    </row>
    <row r="51" spans="1:12" ht="17.25" x14ac:dyDescent="0.3">
      <c r="A51" s="21" t="s">
        <v>1</v>
      </c>
      <c r="B51" s="22"/>
      <c r="C51" s="22" t="s">
        <v>2</v>
      </c>
      <c r="D51" s="22" t="s">
        <v>51</v>
      </c>
      <c r="E51" s="109" t="s">
        <v>52</v>
      </c>
      <c r="F51" s="109"/>
      <c r="G51" s="22" t="s">
        <v>1</v>
      </c>
      <c r="H51" s="22"/>
      <c r="I51" s="22" t="s">
        <v>2</v>
      </c>
      <c r="J51" s="22" t="s">
        <v>51</v>
      </c>
      <c r="K51" s="109" t="s">
        <v>53</v>
      </c>
      <c r="L51" s="110"/>
    </row>
    <row r="52" spans="1:12" ht="17.25" x14ac:dyDescent="0.3">
      <c r="A52" s="18" t="s">
        <v>64</v>
      </c>
      <c r="B52" s="10">
        <v>5</v>
      </c>
      <c r="C52" s="10"/>
      <c r="D52" s="10" t="str">
        <f>IF(B52&lt;&gt;"",RIGHT(DIARIO!$F$1,LEN(DIARIO!$F$1)-1),"")</f>
        <v>80</v>
      </c>
      <c r="E52" s="104">
        <v>5600</v>
      </c>
      <c r="F52" s="104"/>
      <c r="G52" s="11"/>
      <c r="H52" s="11"/>
      <c r="I52" s="10"/>
      <c r="J52" s="10" t="str">
        <f>IF(H52&lt;&gt;"",RIGHT(DIARIO!$F$1,LEN(DIARIO!$F$1)-1),"")</f>
        <v/>
      </c>
      <c r="K52" s="104"/>
      <c r="L52" s="104"/>
    </row>
    <row r="53" spans="1:12" ht="17.25" x14ac:dyDescent="0.3">
      <c r="A53" s="11"/>
      <c r="B53" s="11"/>
      <c r="C53" s="11"/>
      <c r="D53" s="10" t="str">
        <f>IF(B53&lt;&gt;"",RIGHT(DIARIO!F13,LEN(DIARIO!F13)-1),"")</f>
        <v/>
      </c>
      <c r="E53" s="104"/>
      <c r="F53" s="104"/>
      <c r="G53" s="11"/>
      <c r="H53" s="11"/>
      <c r="I53" s="11"/>
      <c r="J53" s="10" t="str">
        <f>IF(H53&lt;&gt;"",RIGHT(DIARIO!$F$1,LEN(DIARIO!$F$1)-1),"")</f>
        <v/>
      </c>
      <c r="K53" s="104"/>
      <c r="L53" s="104"/>
    </row>
    <row r="54" spans="1:12" ht="17.25" x14ac:dyDescent="0.3">
      <c r="A54" s="11"/>
      <c r="B54" s="11"/>
      <c r="C54" s="11"/>
      <c r="D54" s="10" t="str">
        <f>IF(B54&lt;&gt;"",RIGHT(DIARIO!F14,LEN(DIARIO!F14)-1),"")</f>
        <v/>
      </c>
      <c r="E54" s="104"/>
      <c r="F54" s="104"/>
      <c r="G54" s="11"/>
      <c r="H54" s="11"/>
      <c r="I54" s="11"/>
      <c r="J54" s="10" t="str">
        <f>IF(H54&lt;&gt;"",RIGHT(DIARIO!$F$1,LEN(DIARIO!$F$1)-1),"")</f>
        <v/>
      </c>
      <c r="K54" s="104"/>
      <c r="L54" s="104"/>
    </row>
    <row r="55" spans="1:12" ht="17.25" x14ac:dyDescent="0.3">
      <c r="A55" s="11"/>
      <c r="B55" s="11"/>
      <c r="C55" s="11"/>
      <c r="D55" s="10" t="str">
        <f>IF(B55&lt;&gt;"",RIGHT(DIARIO!F15,LEN(DIARIO!F15)-1),"")</f>
        <v/>
      </c>
      <c r="E55" s="104"/>
      <c r="F55" s="104"/>
      <c r="G55" s="11"/>
      <c r="H55" s="11"/>
      <c r="I55" s="11"/>
      <c r="J55" s="10" t="str">
        <f>IF(H55&lt;&gt;"",RIGHT(DIARIO!$F$1,LEN(DIARIO!$F$1)-1),"")</f>
        <v/>
      </c>
      <c r="K55" s="104"/>
      <c r="L55" s="104"/>
    </row>
    <row r="56" spans="1:12" ht="17.25" x14ac:dyDescent="0.3">
      <c r="A56" s="11"/>
      <c r="B56" s="11"/>
      <c r="C56" s="11"/>
      <c r="D56" s="10" t="str">
        <f>IF(B56&lt;&gt;"",RIGHT(DIARIO!F16,LEN(DIARIO!F16)-1),"")</f>
        <v/>
      </c>
      <c r="E56" s="104"/>
      <c r="F56" s="104"/>
      <c r="G56" s="11"/>
      <c r="H56" s="11"/>
      <c r="I56" s="11"/>
      <c r="J56" s="10" t="str">
        <f>IF(H56&lt;&gt;"",RIGHT(DIARIO!$F$1,LEN(DIARIO!$F$1)-1),"")</f>
        <v/>
      </c>
      <c r="K56" s="104"/>
      <c r="L56" s="104"/>
    </row>
    <row r="57" spans="1:12" ht="17.25" x14ac:dyDescent="0.3">
      <c r="A57" s="11"/>
      <c r="B57" s="11"/>
      <c r="C57" s="11"/>
      <c r="D57" s="10" t="str">
        <f>IF(B57&lt;&gt;"",RIGHT(DIARIO!F17,LEN(DIARIO!F17)-1),"")</f>
        <v/>
      </c>
      <c r="E57" s="104"/>
      <c r="F57" s="104"/>
      <c r="G57" s="11"/>
      <c r="H57" s="11"/>
      <c r="I57" s="11"/>
      <c r="J57" s="10" t="str">
        <f>IF(H57&lt;&gt;"",RIGHT(DIARIO!$F$1,LEN(DIARIO!$F$1)-1),"")</f>
        <v/>
      </c>
      <c r="K57" s="104"/>
      <c r="L57" s="104"/>
    </row>
    <row r="58" spans="1:12" ht="17.25" x14ac:dyDescent="0.3">
      <c r="A58" s="11"/>
      <c r="B58" s="11"/>
      <c r="C58" s="11"/>
      <c r="D58" s="10" t="str">
        <f>IF(B58&lt;&gt;"",RIGHT(DIARIO!F18,LEN(DIARIO!F18)-1),"")</f>
        <v/>
      </c>
      <c r="E58" s="118"/>
      <c r="F58" s="119"/>
      <c r="G58" s="11"/>
      <c r="H58" s="11"/>
      <c r="I58" s="11"/>
      <c r="J58" s="10" t="str">
        <f>IF(H58&lt;&gt;"",RIGHT(DIARIO!$F$1,LEN(DIARIO!$F$1)-1),"")</f>
        <v/>
      </c>
      <c r="K58" s="118"/>
      <c r="L58" s="119"/>
    </row>
    <row r="59" spans="1:12" ht="17.25" x14ac:dyDescent="0.3">
      <c r="A59" s="11"/>
      <c r="B59" s="11"/>
      <c r="C59" s="11"/>
      <c r="D59" s="10" t="str">
        <f>IF(B59&lt;&gt;"",RIGHT(DIARIO!F19,LEN(DIARIO!F19)-1),"")</f>
        <v/>
      </c>
      <c r="E59" s="118"/>
      <c r="F59" s="119"/>
      <c r="G59" s="11"/>
      <c r="H59" s="11"/>
      <c r="I59" s="11"/>
      <c r="J59" s="10" t="str">
        <f>IF(H59&lt;&gt;"",RIGHT(DIARIO!$F$1,LEN(DIARIO!$F$1)-1),"")</f>
        <v/>
      </c>
      <c r="K59" s="118"/>
      <c r="L59" s="119"/>
    </row>
    <row r="60" spans="1:12" x14ac:dyDescent="0.25">
      <c r="A60" s="17"/>
    </row>
    <row r="61" spans="1:12" ht="19.5" thickBot="1" x14ac:dyDescent="0.35">
      <c r="A61" s="106" t="str">
        <f>DIARIO!U8</f>
        <v>Cuentas por pagar</v>
      </c>
      <c r="B61" s="106"/>
      <c r="C61" s="106"/>
      <c r="D61" s="106"/>
      <c r="E61" s="106"/>
      <c r="F61" s="106"/>
      <c r="G61" s="106"/>
      <c r="H61" s="106"/>
      <c r="I61" s="107" t="s">
        <v>54</v>
      </c>
      <c r="J61" s="107"/>
      <c r="K61" s="108">
        <f>DIARIO!V8</f>
        <v>200</v>
      </c>
      <c r="L61" s="108"/>
    </row>
    <row r="62" spans="1:12" ht="17.25" x14ac:dyDescent="0.3">
      <c r="A62" s="21" t="s">
        <v>1</v>
      </c>
      <c r="B62" s="22"/>
      <c r="C62" s="22" t="s">
        <v>2</v>
      </c>
      <c r="D62" s="22" t="s">
        <v>51</v>
      </c>
      <c r="E62" s="109" t="s">
        <v>52</v>
      </c>
      <c r="F62" s="109"/>
      <c r="G62" s="22" t="s">
        <v>1</v>
      </c>
      <c r="H62" s="22"/>
      <c r="I62" s="22" t="s">
        <v>2</v>
      </c>
      <c r="J62" s="22" t="s">
        <v>51</v>
      </c>
      <c r="K62" s="109" t="s">
        <v>53</v>
      </c>
      <c r="L62" s="110"/>
    </row>
    <row r="63" spans="1:12" ht="17.25" x14ac:dyDescent="0.3">
      <c r="A63" s="18" t="s">
        <v>64</v>
      </c>
      <c r="B63" s="10">
        <v>23</v>
      </c>
      <c r="C63" s="10"/>
      <c r="D63" s="10" t="str">
        <f>IF(B63&lt;&gt;"",RIGHT(DIARIO!$F$1,LEN(DIARIO!$F$1)-1),"")</f>
        <v>80</v>
      </c>
      <c r="E63" s="104">
        <v>1500</v>
      </c>
      <c r="F63" s="104"/>
      <c r="G63" s="18" t="s">
        <v>64</v>
      </c>
      <c r="H63" s="10">
        <v>9</v>
      </c>
      <c r="I63" s="10"/>
      <c r="J63" s="10" t="str">
        <f>IF(H63&lt;&gt;"",RIGHT(DIARIO!$F$1,LEN(DIARIO!$F$1)-1),"")</f>
        <v>80</v>
      </c>
      <c r="K63" s="104">
        <v>2638</v>
      </c>
      <c r="L63" s="104"/>
    </row>
    <row r="64" spans="1:12" ht="17.25" x14ac:dyDescent="0.3">
      <c r="A64" s="11"/>
      <c r="B64" s="11"/>
      <c r="C64" s="11"/>
      <c r="D64" s="10" t="str">
        <f>IF(B64&lt;&gt;"",RIGHT(DIARIO!$F$1,LEN(DIARIO!$F$1)-1),"")</f>
        <v/>
      </c>
      <c r="E64" s="104"/>
      <c r="F64" s="104"/>
      <c r="G64" s="11"/>
      <c r="H64" s="11"/>
      <c r="I64" s="11"/>
      <c r="J64" s="10" t="str">
        <f>IF(H64&lt;&gt;"",RIGHT(DIARIO!$F$1,LEN(DIARIO!$F$1)-1),"")</f>
        <v/>
      </c>
      <c r="K64" s="104"/>
      <c r="L64" s="104"/>
    </row>
    <row r="65" spans="1:12" ht="17.25" x14ac:dyDescent="0.3">
      <c r="A65" s="11"/>
      <c r="B65" s="11"/>
      <c r="C65" s="11"/>
      <c r="D65" s="10" t="str">
        <f>IF(B65&lt;&gt;"",RIGHT(DIARIO!$F$1,LEN(DIARIO!$F$1)-1),"")</f>
        <v/>
      </c>
      <c r="E65" s="104"/>
      <c r="F65" s="104"/>
      <c r="G65" s="11"/>
      <c r="H65" s="11"/>
      <c r="I65" s="11"/>
      <c r="J65" s="10" t="str">
        <f>IF(H65&lt;&gt;"",RIGHT(DIARIO!$F$1,LEN(DIARIO!$F$1)-1),"")</f>
        <v/>
      </c>
      <c r="K65" s="104"/>
      <c r="L65" s="104"/>
    </row>
    <row r="66" spans="1:12" ht="17.25" x14ac:dyDescent="0.3">
      <c r="A66" s="11"/>
      <c r="B66" s="11"/>
      <c r="C66" s="11"/>
      <c r="D66" s="10" t="str">
        <f>IF(B66&lt;&gt;"",RIGHT(DIARIO!$F$1,LEN(DIARIO!$F$1)-1),"")</f>
        <v/>
      </c>
      <c r="E66" s="104"/>
      <c r="F66" s="104"/>
      <c r="G66" s="11"/>
      <c r="H66" s="11"/>
      <c r="I66" s="11"/>
      <c r="J66" s="10" t="str">
        <f>IF(H66&lt;&gt;"",RIGHT(DIARIO!$F$1,LEN(DIARIO!$F$1)-1),"")</f>
        <v/>
      </c>
      <c r="K66" s="104"/>
      <c r="L66" s="104"/>
    </row>
    <row r="67" spans="1:12" ht="17.25" x14ac:dyDescent="0.3">
      <c r="A67" s="11"/>
      <c r="B67" s="11"/>
      <c r="C67" s="11"/>
      <c r="D67" s="10" t="str">
        <f>IF(B67&lt;&gt;"",RIGHT(DIARIO!$F$1,LEN(DIARIO!$F$1)-1),"")</f>
        <v/>
      </c>
      <c r="E67" s="104"/>
      <c r="F67" s="104"/>
      <c r="G67" s="11"/>
      <c r="H67" s="11"/>
      <c r="I67" s="11"/>
      <c r="J67" s="10" t="str">
        <f>IF(H67&lt;&gt;"",RIGHT(DIARIO!$F$1,LEN(DIARIO!$F$1)-1),"")</f>
        <v/>
      </c>
      <c r="K67" s="104"/>
      <c r="L67" s="104"/>
    </row>
    <row r="68" spans="1:12" ht="17.25" x14ac:dyDescent="0.3">
      <c r="A68" s="11"/>
      <c r="B68" s="11"/>
      <c r="C68" s="11"/>
      <c r="D68" s="10" t="str">
        <f>IF(B68&lt;&gt;"",RIGHT(DIARIO!$F$1,LEN(DIARIO!$F$1)-1),"")</f>
        <v/>
      </c>
      <c r="E68" s="104"/>
      <c r="F68" s="104"/>
      <c r="G68" s="11"/>
      <c r="H68" s="11"/>
      <c r="I68" s="11"/>
      <c r="J68" s="10" t="str">
        <f>IF(H68&lt;&gt;"",RIGHT(DIARIO!$F$1,LEN(DIARIO!$F$1)-1),"")</f>
        <v/>
      </c>
      <c r="K68" s="104"/>
      <c r="L68" s="104"/>
    </row>
    <row r="69" spans="1:12" ht="17.25" x14ac:dyDescent="0.3">
      <c r="A69" s="11"/>
      <c r="B69" s="11"/>
      <c r="C69" s="11"/>
      <c r="D69" s="10" t="str">
        <f>IF(B69&lt;&gt;"",RIGHT(DIARIO!$F$1,LEN(DIARIO!$F$1)-1),"")</f>
        <v/>
      </c>
      <c r="E69" s="104"/>
      <c r="F69" s="104"/>
      <c r="G69" s="11"/>
      <c r="H69" s="11"/>
      <c r="I69" s="11"/>
      <c r="J69" s="10" t="str">
        <f>IF(H69&lt;&gt;"",RIGHT(DIARIO!$F$1,LEN(DIARIO!$F$1)-1),"")</f>
        <v/>
      </c>
      <c r="K69" s="104"/>
      <c r="L69" s="104"/>
    </row>
    <row r="70" spans="1:12" ht="17.25" x14ac:dyDescent="0.3">
      <c r="A70" s="11"/>
      <c r="B70" s="11"/>
      <c r="C70" s="11"/>
      <c r="D70" s="10" t="str">
        <f>IF(B70&lt;&gt;"",RIGHT(DIARIO!$F$1,LEN(DIARIO!$F$1)-1),"")</f>
        <v/>
      </c>
      <c r="E70" s="104"/>
      <c r="F70" s="104"/>
      <c r="G70" s="11"/>
      <c r="H70" s="11"/>
      <c r="I70" s="11"/>
      <c r="J70" s="10" t="str">
        <f>IF(H70&lt;&gt;"",RIGHT(DIARIO!$F$1,LEN(DIARIO!$F$1)-1),"")</f>
        <v/>
      </c>
      <c r="K70" s="104"/>
      <c r="L70" s="104"/>
    </row>
    <row r="71" spans="1:12" x14ac:dyDescent="0.25">
      <c r="A71" s="17"/>
    </row>
    <row r="72" spans="1:12" ht="19.5" thickBot="1" x14ac:dyDescent="0.35">
      <c r="A72" s="106" t="str">
        <f>DIARIO!U9</f>
        <v>Tesoro Nacional - ITBMS</v>
      </c>
      <c r="B72" s="106"/>
      <c r="C72" s="106"/>
      <c r="D72" s="106"/>
      <c r="E72" s="106"/>
      <c r="F72" s="106"/>
      <c r="G72" s="106"/>
      <c r="H72" s="106"/>
      <c r="I72" s="107" t="s">
        <v>54</v>
      </c>
      <c r="J72" s="107"/>
      <c r="K72" s="108">
        <f>DIARIO!V9</f>
        <v>201</v>
      </c>
      <c r="L72" s="108"/>
    </row>
    <row r="73" spans="1:12" ht="17.25" x14ac:dyDescent="0.3">
      <c r="A73" s="21" t="s">
        <v>1</v>
      </c>
      <c r="B73" s="22"/>
      <c r="C73" s="22" t="s">
        <v>2</v>
      </c>
      <c r="D73" s="22" t="s">
        <v>51</v>
      </c>
      <c r="E73" s="109" t="s">
        <v>52</v>
      </c>
      <c r="F73" s="109"/>
      <c r="G73" s="22" t="s">
        <v>1</v>
      </c>
      <c r="H73" s="22"/>
      <c r="I73" s="22" t="s">
        <v>2</v>
      </c>
      <c r="J73" s="22" t="s">
        <v>51</v>
      </c>
      <c r="K73" s="109" t="s">
        <v>53</v>
      </c>
      <c r="L73" s="110"/>
    </row>
    <row r="74" spans="1:12" ht="17.25" x14ac:dyDescent="0.3">
      <c r="A74" s="18"/>
      <c r="B74" s="10"/>
      <c r="C74" s="10"/>
      <c r="D74" s="10" t="str">
        <f>IF(B74&lt;&gt;"",RIGHT(DIARIO!$F$1,LEN(DIARIO!$F$1)-1),"")</f>
        <v/>
      </c>
      <c r="E74" s="104"/>
      <c r="F74" s="104"/>
      <c r="G74" s="18" t="s">
        <v>64</v>
      </c>
      <c r="H74" s="10">
        <v>13</v>
      </c>
      <c r="I74" s="10"/>
      <c r="J74" s="10" t="str">
        <f>IF(H74&lt;&gt;"",RIGHT(DIARIO!$F$1,LEN(DIARIO!$F$1)-1),"")</f>
        <v>80</v>
      </c>
      <c r="K74" s="104">
        <v>2638</v>
      </c>
      <c r="L74" s="104"/>
    </row>
    <row r="75" spans="1:12" ht="17.25" x14ac:dyDescent="0.3">
      <c r="A75" s="11"/>
      <c r="B75" s="11"/>
      <c r="C75" s="11"/>
      <c r="D75" s="10" t="str">
        <f>IF(B75&lt;&gt;"",RIGHT(DIARIO!$F$1,LEN(DIARIO!$F$1)-1),"")</f>
        <v/>
      </c>
      <c r="E75" s="104"/>
      <c r="F75" s="104"/>
      <c r="G75" s="11"/>
      <c r="H75" s="11"/>
      <c r="I75" s="11"/>
      <c r="J75" s="10" t="str">
        <f>IF(H75&lt;&gt;"",RIGHT(DIARIO!$F$1,LEN(DIARIO!$F$1)-1),"")</f>
        <v/>
      </c>
      <c r="K75" s="104"/>
      <c r="L75" s="104"/>
    </row>
    <row r="76" spans="1:12" ht="17.25" x14ac:dyDescent="0.3">
      <c r="A76" s="11"/>
      <c r="B76" s="11"/>
      <c r="C76" s="11"/>
      <c r="D76" s="10" t="str">
        <f>IF(B76&lt;&gt;"",RIGHT(DIARIO!$F$1,LEN(DIARIO!$F$1)-1),"")</f>
        <v/>
      </c>
      <c r="E76" s="104"/>
      <c r="F76" s="104"/>
      <c r="G76" s="11"/>
      <c r="H76" s="11"/>
      <c r="I76" s="11"/>
      <c r="J76" s="10" t="str">
        <f>IF(H76&lt;&gt;"",RIGHT(DIARIO!$F$1,LEN(DIARIO!$F$1)-1),"")</f>
        <v/>
      </c>
      <c r="K76" s="104"/>
      <c r="L76" s="104"/>
    </row>
    <row r="77" spans="1:12" ht="17.25" x14ac:dyDescent="0.3">
      <c r="A77" s="11"/>
      <c r="B77" s="11"/>
      <c r="C77" s="11"/>
      <c r="D77" s="10" t="str">
        <f>IF(B77&lt;&gt;"",RIGHT(DIARIO!$F$1,LEN(DIARIO!$F$1)-1),"")</f>
        <v/>
      </c>
      <c r="E77" s="104"/>
      <c r="F77" s="104"/>
      <c r="G77" s="11"/>
      <c r="H77" s="11"/>
      <c r="I77" s="11"/>
      <c r="J77" s="10" t="str">
        <f>IF(H77&lt;&gt;"",RIGHT(DIARIO!$F$1,LEN(DIARIO!$F$1)-1),"")</f>
        <v/>
      </c>
      <c r="K77" s="104"/>
      <c r="L77" s="104"/>
    </row>
    <row r="78" spans="1:12" ht="17.25" x14ac:dyDescent="0.3">
      <c r="A78" s="11"/>
      <c r="B78" s="11"/>
      <c r="C78" s="11"/>
      <c r="D78" s="10" t="str">
        <f>IF(B78&lt;&gt;"",RIGHT(DIARIO!$F$1,LEN(DIARIO!$F$1)-1),"")</f>
        <v/>
      </c>
      <c r="E78" s="104"/>
      <c r="F78" s="104"/>
      <c r="G78" s="11"/>
      <c r="H78" s="11"/>
      <c r="I78" s="11"/>
      <c r="J78" s="10" t="str">
        <f>IF(H78&lt;&gt;"",RIGHT(DIARIO!$F$1,LEN(DIARIO!$F$1)-1),"")</f>
        <v/>
      </c>
      <c r="K78" s="104"/>
      <c r="L78" s="104"/>
    </row>
    <row r="79" spans="1:12" ht="17.25" x14ac:dyDescent="0.3">
      <c r="A79" s="11"/>
      <c r="B79" s="11"/>
      <c r="C79" s="11"/>
      <c r="D79" s="10" t="str">
        <f>IF(B79&lt;&gt;"",RIGHT(DIARIO!$F$1,LEN(DIARIO!$F$1)-1),"")</f>
        <v/>
      </c>
      <c r="E79" s="104"/>
      <c r="F79" s="104"/>
      <c r="G79" s="11"/>
      <c r="H79" s="11"/>
      <c r="I79" s="11"/>
      <c r="J79" s="10" t="str">
        <f>IF(H79&lt;&gt;"",RIGHT(DIARIO!$F$1,LEN(DIARIO!$F$1)-1),"")</f>
        <v/>
      </c>
      <c r="K79" s="104"/>
      <c r="L79" s="104"/>
    </row>
    <row r="80" spans="1:12" ht="17.25" x14ac:dyDescent="0.3">
      <c r="A80" s="11"/>
      <c r="B80" s="11"/>
      <c r="C80" s="11"/>
      <c r="D80" s="10" t="str">
        <f>IF(B80&lt;&gt;"",RIGHT(DIARIO!$F$1,LEN(DIARIO!$F$1)-1),"")</f>
        <v/>
      </c>
      <c r="E80" s="104"/>
      <c r="F80" s="104"/>
      <c r="G80" s="11"/>
      <c r="H80" s="11"/>
      <c r="I80" s="11"/>
      <c r="J80" s="10" t="str">
        <f>IF(H80&lt;&gt;"",RIGHT(DIARIO!$F$1,LEN(DIARIO!$F$1)-1),"")</f>
        <v/>
      </c>
      <c r="K80" s="104"/>
      <c r="L80" s="104"/>
    </row>
    <row r="81" spans="1:12" ht="17.25" x14ac:dyDescent="0.3">
      <c r="A81" s="11"/>
      <c r="B81" s="11"/>
      <c r="C81" s="11"/>
      <c r="D81" s="10" t="str">
        <f>IF(B81&lt;&gt;"",RIGHT(DIARIO!$F$1,LEN(DIARIO!$F$1)-1),"")</f>
        <v/>
      </c>
      <c r="E81" s="104"/>
      <c r="F81" s="104"/>
      <c r="G81" s="11"/>
      <c r="H81" s="11"/>
      <c r="I81" s="11"/>
      <c r="J81" s="10" t="str">
        <f>IF(H81&lt;&gt;"",RIGHT(DIARIO!$F$1,LEN(DIARIO!$F$1)-1),"")</f>
        <v/>
      </c>
      <c r="K81" s="104"/>
      <c r="L81" s="104"/>
    </row>
    <row r="82" spans="1:12" x14ac:dyDescent="0.25">
      <c r="A82" s="17"/>
    </row>
    <row r="83" spans="1:12" ht="19.5" thickBot="1" x14ac:dyDescent="0.35">
      <c r="A83" s="106" t="str">
        <f>DIARIO!U10</f>
        <v>Capital</v>
      </c>
      <c r="B83" s="106"/>
      <c r="C83" s="106"/>
      <c r="D83" s="106"/>
      <c r="E83" s="106"/>
      <c r="F83" s="106"/>
      <c r="G83" s="106"/>
      <c r="H83" s="106"/>
      <c r="I83" s="107" t="s">
        <v>54</v>
      </c>
      <c r="J83" s="107"/>
      <c r="K83" s="108">
        <f>DIARIO!V10</f>
        <v>300</v>
      </c>
      <c r="L83" s="108"/>
    </row>
    <row r="84" spans="1:12" ht="17.25" x14ac:dyDescent="0.3">
      <c r="A84" s="21" t="s">
        <v>1</v>
      </c>
      <c r="B84" s="22"/>
      <c r="C84" s="22" t="s">
        <v>2</v>
      </c>
      <c r="D84" s="22" t="s">
        <v>51</v>
      </c>
      <c r="E84" s="109" t="s">
        <v>52</v>
      </c>
      <c r="F84" s="109"/>
      <c r="G84" s="22" t="s">
        <v>1</v>
      </c>
      <c r="H84" s="22"/>
      <c r="I84" s="22" t="s">
        <v>2</v>
      </c>
      <c r="J84" s="22" t="s">
        <v>51</v>
      </c>
      <c r="K84" s="109" t="s">
        <v>53</v>
      </c>
      <c r="L84" s="110"/>
    </row>
    <row r="85" spans="1:12" ht="17.25" x14ac:dyDescent="0.3">
      <c r="A85" s="18"/>
      <c r="B85" s="10"/>
      <c r="C85" s="10"/>
      <c r="D85" s="10" t="str">
        <f>IF(B85&lt;&gt;"",RIGHT(DIARIO!$F$1,LEN(DIARIO!$F$1)-1),"")</f>
        <v/>
      </c>
      <c r="E85" s="104"/>
      <c r="F85" s="104"/>
      <c r="G85" s="18" t="s">
        <v>64</v>
      </c>
      <c r="H85" s="10">
        <v>1</v>
      </c>
      <c r="I85" s="10"/>
      <c r="J85" s="10" t="str">
        <f>IF(H85&lt;&gt;"",RIGHT(DIARIO!$F$1,LEN(DIARIO!$F$1)-1),"")</f>
        <v>80</v>
      </c>
      <c r="K85" s="104">
        <v>185000</v>
      </c>
      <c r="L85" s="104"/>
    </row>
    <row r="86" spans="1:12" ht="17.25" x14ac:dyDescent="0.3">
      <c r="A86" s="11"/>
      <c r="B86" s="11"/>
      <c r="C86" s="11"/>
      <c r="D86" s="10" t="str">
        <f>IF(B86&lt;&gt;"",RIGHT(DIARIO!$F$1,LEN(DIARIO!$F$1)-1),"")</f>
        <v/>
      </c>
      <c r="E86" s="104"/>
      <c r="F86" s="104"/>
      <c r="G86" s="11"/>
      <c r="H86" s="11"/>
      <c r="I86" s="11"/>
      <c r="J86" s="10" t="str">
        <f>IF(H86&lt;&gt;"",RIGHT(DIARIO!$F$1,LEN(DIARIO!$F$1)-1),"")</f>
        <v/>
      </c>
      <c r="K86" s="104"/>
      <c r="L86" s="104"/>
    </row>
    <row r="87" spans="1:12" ht="17.25" x14ac:dyDescent="0.3">
      <c r="A87" s="11"/>
      <c r="B87" s="11"/>
      <c r="C87" s="11"/>
      <c r="D87" s="10" t="str">
        <f>IF(B87&lt;&gt;"",RIGHT(DIARIO!$F$1,LEN(DIARIO!$F$1)-1),"")</f>
        <v/>
      </c>
      <c r="E87" s="104"/>
      <c r="F87" s="104"/>
      <c r="G87" s="11"/>
      <c r="H87" s="11"/>
      <c r="I87" s="11"/>
      <c r="J87" s="10" t="str">
        <f>IF(H87&lt;&gt;"",RIGHT(DIARIO!$F$1,LEN(DIARIO!$F$1)-1),"")</f>
        <v/>
      </c>
      <c r="K87" s="104"/>
      <c r="L87" s="104"/>
    </row>
    <row r="88" spans="1:12" ht="17.25" x14ac:dyDescent="0.3">
      <c r="A88" s="11"/>
      <c r="B88" s="11"/>
      <c r="C88" s="11"/>
      <c r="D88" s="10" t="str">
        <f>IF(B88&lt;&gt;"",RIGHT(DIARIO!$F$1,LEN(DIARIO!$F$1)-1),"")</f>
        <v/>
      </c>
      <c r="E88" s="104"/>
      <c r="F88" s="104"/>
      <c r="G88" s="11"/>
      <c r="H88" s="11"/>
      <c r="I88" s="11"/>
      <c r="J88" s="10" t="str">
        <f>IF(H88&lt;&gt;"",RIGHT(DIARIO!$F$1,LEN(DIARIO!$F$1)-1),"")</f>
        <v/>
      </c>
      <c r="K88" s="104"/>
      <c r="L88" s="104"/>
    </row>
    <row r="89" spans="1:12" ht="17.25" x14ac:dyDescent="0.3">
      <c r="A89" s="11"/>
      <c r="B89" s="11"/>
      <c r="C89" s="11"/>
      <c r="D89" s="10" t="str">
        <f>IF(B89&lt;&gt;"",RIGHT(DIARIO!$F$1,LEN(DIARIO!$F$1)-1),"")</f>
        <v/>
      </c>
      <c r="E89" s="104"/>
      <c r="F89" s="104"/>
      <c r="G89" s="11"/>
      <c r="H89" s="11"/>
      <c r="I89" s="11"/>
      <c r="J89" s="10" t="str">
        <f>IF(H89&lt;&gt;"",RIGHT(DIARIO!$F$1,LEN(DIARIO!$F$1)-1),"")</f>
        <v/>
      </c>
      <c r="K89" s="104"/>
      <c r="L89" s="104"/>
    </row>
    <row r="90" spans="1:12" ht="17.25" x14ac:dyDescent="0.3">
      <c r="A90" s="11"/>
      <c r="B90" s="11"/>
      <c r="C90" s="11"/>
      <c r="D90" s="10" t="str">
        <f>IF(B90&lt;&gt;"",RIGHT(DIARIO!$F$1,LEN(DIARIO!$F$1)-1),"")</f>
        <v/>
      </c>
      <c r="E90" s="104"/>
      <c r="F90" s="104"/>
      <c r="G90" s="11"/>
      <c r="H90" s="11"/>
      <c r="I90" s="11"/>
      <c r="J90" s="10" t="str">
        <f>IF(H90&lt;&gt;"",RIGHT(DIARIO!$F$1,LEN(DIARIO!$F$1)-1),"")</f>
        <v/>
      </c>
      <c r="K90" s="104"/>
      <c r="L90" s="104"/>
    </row>
    <row r="91" spans="1:12" ht="17.25" x14ac:dyDescent="0.3">
      <c r="A91" s="11"/>
      <c r="B91" s="11"/>
      <c r="C91" s="11"/>
      <c r="D91" s="10" t="str">
        <f>IF(B91&lt;&gt;"",RIGHT(DIARIO!$F$1,LEN(DIARIO!$F$1)-1),"")</f>
        <v/>
      </c>
      <c r="E91" s="104"/>
      <c r="F91" s="104"/>
      <c r="G91" s="11"/>
      <c r="H91" s="11"/>
      <c r="I91" s="11"/>
      <c r="J91" s="10" t="str">
        <f>IF(H91&lt;&gt;"",RIGHT(DIARIO!$F$1,LEN(DIARIO!$F$1)-1),"")</f>
        <v/>
      </c>
      <c r="K91" s="104"/>
      <c r="L91" s="104"/>
    </row>
    <row r="92" spans="1:12" ht="17.25" x14ac:dyDescent="0.3">
      <c r="A92" s="11"/>
      <c r="B92" s="11"/>
      <c r="C92" s="11"/>
      <c r="D92" s="10" t="str">
        <f>IF(B92&lt;&gt;"",RIGHT(DIARIO!$F$1,LEN(DIARIO!$F$1)-1),"")</f>
        <v/>
      </c>
      <c r="E92" s="104"/>
      <c r="F92" s="104"/>
      <c r="G92" s="11"/>
      <c r="H92" s="11"/>
      <c r="I92" s="11"/>
      <c r="J92" s="10" t="str">
        <f>IF(H92&lt;&gt;"",RIGHT(DIARIO!$F$1,LEN(DIARIO!$F$1)-1),"")</f>
        <v/>
      </c>
      <c r="K92" s="104"/>
      <c r="L92" s="104"/>
    </row>
    <row r="93" spans="1:12" x14ac:dyDescent="0.25">
      <c r="A93" s="17"/>
    </row>
    <row r="94" spans="1:12" ht="19.5" thickBot="1" x14ac:dyDescent="0.35">
      <c r="A94" s="106" t="str">
        <f>DIARIO!U11</f>
        <v>Ingresos - Servicio Profesional</v>
      </c>
      <c r="B94" s="106"/>
      <c r="C94" s="106"/>
      <c r="D94" s="106"/>
      <c r="E94" s="106"/>
      <c r="F94" s="106"/>
      <c r="G94" s="106"/>
      <c r="H94" s="106"/>
      <c r="I94" s="107" t="s">
        <v>54</v>
      </c>
      <c r="J94" s="107"/>
      <c r="K94" s="108">
        <f>DIARIO!V11</f>
        <v>400</v>
      </c>
      <c r="L94" s="108"/>
    </row>
    <row r="95" spans="1:12" ht="17.25" x14ac:dyDescent="0.3">
      <c r="A95" s="21" t="s">
        <v>1</v>
      </c>
      <c r="B95" s="22"/>
      <c r="C95" s="22" t="s">
        <v>2</v>
      </c>
      <c r="D95" s="22" t="s">
        <v>51</v>
      </c>
      <c r="E95" s="109" t="s">
        <v>52</v>
      </c>
      <c r="F95" s="109"/>
      <c r="G95" s="22" t="s">
        <v>1</v>
      </c>
      <c r="H95" s="22"/>
      <c r="I95" s="22" t="s">
        <v>2</v>
      </c>
      <c r="J95" s="22" t="s">
        <v>51</v>
      </c>
      <c r="K95" s="109" t="s">
        <v>53</v>
      </c>
      <c r="L95" s="110"/>
    </row>
    <row r="96" spans="1:12" ht="17.25" x14ac:dyDescent="0.3">
      <c r="A96" s="18"/>
      <c r="B96" s="10"/>
      <c r="C96" s="10"/>
      <c r="D96" s="10" t="str">
        <f>IF(B96&lt;&gt;"",RIGHT(DIARIO!$F$1,LEN(DIARIO!$F$1)-1),"")</f>
        <v/>
      </c>
      <c r="E96" s="104"/>
      <c r="F96" s="104"/>
      <c r="G96" s="11" t="s">
        <v>64</v>
      </c>
      <c r="H96" s="11">
        <v>13</v>
      </c>
      <c r="I96" s="10"/>
      <c r="J96" s="10" t="str">
        <f>IF(H96&lt;&gt;"",RIGHT(DIARIO!$F$1,LEN(DIARIO!$F$1)-1),"")</f>
        <v>80</v>
      </c>
      <c r="K96" s="104">
        <v>11800</v>
      </c>
      <c r="L96" s="104"/>
    </row>
    <row r="97" spans="1:12" ht="17.25" x14ac:dyDescent="0.3">
      <c r="A97" s="11"/>
      <c r="B97" s="11"/>
      <c r="C97" s="11"/>
      <c r="D97" s="10" t="str">
        <f>IF(B97&lt;&gt;"",RIGHT(DIARIO!$F$1,LEN(DIARIO!$F$1)-1),"")</f>
        <v/>
      </c>
      <c r="E97" s="104"/>
      <c r="F97" s="104"/>
      <c r="G97" s="11"/>
      <c r="H97" s="11"/>
      <c r="I97" s="11"/>
      <c r="J97" s="10" t="str">
        <f>IF(H97&lt;&gt;"",RIGHT(DIARIO!$F$1,LEN(DIARIO!$F$1)-1),"")</f>
        <v/>
      </c>
      <c r="K97" s="104"/>
      <c r="L97" s="104"/>
    </row>
    <row r="98" spans="1:12" ht="17.25" x14ac:dyDescent="0.3">
      <c r="A98" s="11"/>
      <c r="B98" s="11"/>
      <c r="C98" s="11"/>
      <c r="D98" s="10" t="str">
        <f>IF(B98&lt;&gt;"",RIGHT(DIARIO!$F$1,LEN(DIARIO!$F$1)-1),"")</f>
        <v/>
      </c>
      <c r="E98" s="104"/>
      <c r="F98" s="104"/>
      <c r="G98" s="11"/>
      <c r="H98" s="11"/>
      <c r="I98" s="11"/>
      <c r="J98" s="10" t="str">
        <f>IF(H98&lt;&gt;"",RIGHT(DIARIO!$F$1,LEN(DIARIO!$F$1)-1),"")</f>
        <v/>
      </c>
      <c r="K98" s="104"/>
      <c r="L98" s="104"/>
    </row>
    <row r="99" spans="1:12" ht="17.25" x14ac:dyDescent="0.3">
      <c r="A99" s="11"/>
      <c r="B99" s="11"/>
      <c r="C99" s="11"/>
      <c r="D99" s="10" t="str">
        <f>IF(B99&lt;&gt;"",RIGHT(DIARIO!$F$1,LEN(DIARIO!$F$1)-1),"")</f>
        <v/>
      </c>
      <c r="E99" s="104"/>
      <c r="F99" s="104"/>
      <c r="G99" s="11"/>
      <c r="H99" s="11"/>
      <c r="I99" s="11"/>
      <c r="J99" s="10" t="str">
        <f>IF(H99&lt;&gt;"",RIGHT(DIARIO!$F$1,LEN(DIARIO!$F$1)-1),"")</f>
        <v/>
      </c>
      <c r="K99" s="104"/>
      <c r="L99" s="104"/>
    </row>
    <row r="100" spans="1:12" ht="17.25" x14ac:dyDescent="0.3">
      <c r="A100" s="11"/>
      <c r="B100" s="11"/>
      <c r="C100" s="11"/>
      <c r="D100" s="10" t="str">
        <f>IF(B100&lt;&gt;"",RIGHT(DIARIO!$F$1,LEN(DIARIO!$F$1)-1),"")</f>
        <v/>
      </c>
      <c r="E100" s="104"/>
      <c r="F100" s="104"/>
      <c r="G100" s="11"/>
      <c r="H100" s="11"/>
      <c r="I100" s="11"/>
      <c r="J100" s="10" t="str">
        <f>IF(H100&lt;&gt;"",RIGHT(DIARIO!$F$1,LEN(DIARIO!$F$1)-1),"")</f>
        <v/>
      </c>
      <c r="K100" s="104"/>
      <c r="L100" s="104"/>
    </row>
    <row r="101" spans="1:12" ht="17.25" x14ac:dyDescent="0.3">
      <c r="A101" s="11"/>
      <c r="B101" s="11"/>
      <c r="C101" s="11"/>
      <c r="D101" s="10" t="str">
        <f>IF(B101&lt;&gt;"",RIGHT(DIARIO!$F$1,LEN(DIARIO!$F$1)-1),"")</f>
        <v/>
      </c>
      <c r="E101" s="104"/>
      <c r="F101" s="104"/>
      <c r="G101" s="11"/>
      <c r="H101" s="11"/>
      <c r="I101" s="11"/>
      <c r="J101" s="10" t="str">
        <f>IF(H101&lt;&gt;"",RIGHT(DIARIO!$F$1,LEN(DIARIO!$F$1)-1),"")</f>
        <v/>
      </c>
      <c r="K101" s="104"/>
      <c r="L101" s="104"/>
    </row>
    <row r="102" spans="1:12" ht="17.25" x14ac:dyDescent="0.3">
      <c r="A102" s="11"/>
      <c r="B102" s="11"/>
      <c r="C102" s="11"/>
      <c r="D102" s="10" t="str">
        <f>IF(B102&lt;&gt;"",RIGHT(DIARIO!$F$1,LEN(DIARIO!$F$1)-1),"")</f>
        <v/>
      </c>
      <c r="E102" s="104"/>
      <c r="F102" s="104"/>
      <c r="G102" s="11"/>
      <c r="H102" s="11"/>
      <c r="I102" s="11"/>
      <c r="J102" s="10" t="str">
        <f>IF(H102&lt;&gt;"",RIGHT(DIARIO!$F$1,LEN(DIARIO!$F$1)-1),"")</f>
        <v/>
      </c>
      <c r="K102" s="104"/>
      <c r="L102" s="104"/>
    </row>
    <row r="103" spans="1:12" ht="17.25" x14ac:dyDescent="0.3">
      <c r="A103" s="11"/>
      <c r="B103" s="11"/>
      <c r="C103" s="11"/>
      <c r="D103" s="10" t="str">
        <f>IF(B103&lt;&gt;"",RIGHT(DIARIO!$F$1,LEN(DIARIO!$F$1)-1),"")</f>
        <v/>
      </c>
      <c r="E103" s="104"/>
      <c r="F103" s="104"/>
      <c r="G103" s="11"/>
      <c r="H103" s="11"/>
      <c r="I103" s="11"/>
      <c r="J103" s="10" t="str">
        <f>IF(H103&lt;&gt;"",RIGHT(DIARIO!$F$1,LEN(DIARIO!$F$1)-1),"")</f>
        <v/>
      </c>
      <c r="K103" s="104"/>
      <c r="L103" s="104"/>
    </row>
    <row r="104" spans="1:12" x14ac:dyDescent="0.25">
      <c r="A104" s="17"/>
    </row>
    <row r="105" spans="1:12" ht="19.5" thickBot="1" x14ac:dyDescent="0.35">
      <c r="A105" s="106" t="str">
        <f>DIARIO!U12</f>
        <v>Gasto - Salarios</v>
      </c>
      <c r="B105" s="106"/>
      <c r="C105" s="106"/>
      <c r="D105" s="106"/>
      <c r="E105" s="106"/>
      <c r="F105" s="106"/>
      <c r="G105" s="106"/>
      <c r="H105" s="106"/>
      <c r="I105" s="107" t="s">
        <v>54</v>
      </c>
      <c r="J105" s="107"/>
      <c r="K105" s="108">
        <f>DIARIO!V12</f>
        <v>600</v>
      </c>
      <c r="L105" s="108"/>
    </row>
    <row r="106" spans="1:12" ht="17.25" x14ac:dyDescent="0.3">
      <c r="A106" s="21" t="s">
        <v>1</v>
      </c>
      <c r="B106" s="22"/>
      <c r="C106" s="22" t="s">
        <v>2</v>
      </c>
      <c r="D106" s="22" t="s">
        <v>51</v>
      </c>
      <c r="E106" s="109" t="s">
        <v>52</v>
      </c>
      <c r="F106" s="109"/>
      <c r="G106" s="22" t="s">
        <v>1</v>
      </c>
      <c r="H106" s="22"/>
      <c r="I106" s="22" t="s">
        <v>2</v>
      </c>
      <c r="J106" s="22" t="s">
        <v>51</v>
      </c>
      <c r="K106" s="109" t="s">
        <v>53</v>
      </c>
      <c r="L106" s="110"/>
    </row>
    <row r="107" spans="1:12" ht="17.25" x14ac:dyDescent="0.3">
      <c r="A107" s="18" t="s">
        <v>64</v>
      </c>
      <c r="B107" s="10">
        <v>15</v>
      </c>
      <c r="C107" s="10"/>
      <c r="D107" s="10" t="str">
        <f>IF(B107&lt;&gt;"",RIGHT(DIARIO!$F$1,LEN(DIARIO!$F$1)-1),"")</f>
        <v>80</v>
      </c>
      <c r="E107" s="105">
        <v>11900</v>
      </c>
      <c r="F107" s="105">
        <v>794.39</v>
      </c>
      <c r="G107" s="11"/>
      <c r="H107" s="11"/>
      <c r="I107" s="10"/>
      <c r="J107" s="10" t="str">
        <f>IF(H107&lt;&gt;"",RIGHT(DIARIO!$F$1,LEN(DIARIO!$F$1)-1),"")</f>
        <v/>
      </c>
      <c r="K107" s="104"/>
      <c r="L107" s="104"/>
    </row>
    <row r="108" spans="1:12" ht="17.25" x14ac:dyDescent="0.3">
      <c r="A108" s="11"/>
      <c r="B108" s="11"/>
      <c r="C108" s="11"/>
      <c r="D108" s="10" t="str">
        <f>IF(B108&lt;&gt;"",RIGHT(DIARIO!$F$1,LEN(DIARIO!$F$1)-1),"")</f>
        <v/>
      </c>
      <c r="E108" s="104"/>
      <c r="F108" s="104"/>
      <c r="G108" s="11"/>
      <c r="H108" s="11"/>
      <c r="I108" s="11"/>
      <c r="J108" s="10" t="str">
        <f>IF(H108&lt;&gt;"",RIGHT(DIARIO!$F$1,LEN(DIARIO!$F$1)-1),"")</f>
        <v/>
      </c>
      <c r="K108" s="104"/>
      <c r="L108" s="104"/>
    </row>
    <row r="109" spans="1:12" ht="17.25" x14ac:dyDescent="0.3">
      <c r="A109" s="11"/>
      <c r="B109" s="11"/>
      <c r="C109" s="11"/>
      <c r="D109" s="10" t="str">
        <f>IF(B109&lt;&gt;"",RIGHT(DIARIO!$F$1,LEN(DIARIO!$F$1)-1),"")</f>
        <v/>
      </c>
      <c r="E109" s="104"/>
      <c r="F109" s="104"/>
      <c r="G109" s="11"/>
      <c r="H109" s="11"/>
      <c r="I109" s="11"/>
      <c r="J109" s="10" t="str">
        <f>IF(H109&lt;&gt;"",RIGHT(DIARIO!$F$1,LEN(DIARIO!$F$1)-1),"")</f>
        <v/>
      </c>
      <c r="K109" s="104"/>
      <c r="L109" s="104"/>
    </row>
    <row r="110" spans="1:12" ht="17.25" x14ac:dyDescent="0.3">
      <c r="A110" s="11"/>
      <c r="B110" s="11"/>
      <c r="C110" s="11"/>
      <c r="D110" s="10" t="str">
        <f>IF(B110&lt;&gt;"",RIGHT(DIARIO!$F$1,LEN(DIARIO!$F$1)-1),"")</f>
        <v/>
      </c>
      <c r="E110" s="104"/>
      <c r="F110" s="104"/>
      <c r="G110" s="11"/>
      <c r="H110" s="11"/>
      <c r="I110" s="11"/>
      <c r="J110" s="10" t="str">
        <f>IF(H110&lt;&gt;"",RIGHT(DIARIO!$F$1,LEN(DIARIO!$F$1)-1),"")</f>
        <v/>
      </c>
      <c r="K110" s="104"/>
      <c r="L110" s="104"/>
    </row>
    <row r="111" spans="1:12" ht="17.25" x14ac:dyDescent="0.3">
      <c r="A111" s="11"/>
      <c r="B111" s="11"/>
      <c r="C111" s="11"/>
      <c r="D111" s="10" t="str">
        <f>IF(B111&lt;&gt;"",RIGHT(DIARIO!$F$1,LEN(DIARIO!$F$1)-1),"")</f>
        <v/>
      </c>
      <c r="E111" s="104"/>
      <c r="F111" s="104"/>
      <c r="G111" s="11"/>
      <c r="H111" s="11"/>
      <c r="I111" s="11"/>
      <c r="J111" s="10" t="str">
        <f>IF(H111&lt;&gt;"",RIGHT(DIARIO!$F$1,LEN(DIARIO!$F$1)-1),"")</f>
        <v/>
      </c>
      <c r="K111" s="104"/>
      <c r="L111" s="104"/>
    </row>
    <row r="112" spans="1:12" ht="17.25" x14ac:dyDescent="0.3">
      <c r="A112" s="11"/>
      <c r="B112" s="11"/>
      <c r="C112" s="11"/>
      <c r="D112" s="10" t="str">
        <f>IF(B112&lt;&gt;"",RIGHT(DIARIO!$F$1,LEN(DIARIO!$F$1)-1),"")</f>
        <v/>
      </c>
      <c r="E112" s="104"/>
      <c r="F112" s="104"/>
      <c r="G112" s="11"/>
      <c r="H112" s="11"/>
      <c r="I112" s="11"/>
      <c r="J112" s="10" t="str">
        <f>IF(H112&lt;&gt;"",RIGHT(DIARIO!$F$1,LEN(DIARIO!$F$1)-1),"")</f>
        <v/>
      </c>
      <c r="K112" s="104"/>
      <c r="L112" s="104"/>
    </row>
    <row r="113" spans="1:12" ht="17.25" x14ac:dyDescent="0.3">
      <c r="A113" s="11"/>
      <c r="B113" s="11"/>
      <c r="C113" s="11"/>
      <c r="D113" s="10" t="str">
        <f>IF(B113&lt;&gt;"",RIGHT(DIARIO!$F$1,LEN(DIARIO!$F$1)-1),"")</f>
        <v/>
      </c>
      <c r="E113" s="104"/>
      <c r="F113" s="104"/>
      <c r="G113" s="11"/>
      <c r="H113" s="11"/>
      <c r="I113" s="11"/>
      <c r="J113" s="10" t="str">
        <f>IF(H113&lt;&gt;"",RIGHT(DIARIO!$F$1,LEN(DIARIO!$F$1)-1),"")</f>
        <v/>
      </c>
      <c r="K113" s="104"/>
      <c r="L113" s="104"/>
    </row>
    <row r="114" spans="1:12" ht="17.25" x14ac:dyDescent="0.3">
      <c r="A114" s="11"/>
      <c r="B114" s="11"/>
      <c r="C114" s="11"/>
      <c r="D114" s="10" t="str">
        <f>IF(B114&lt;&gt;"",RIGHT(DIARIO!$F$1,LEN(DIARIO!$F$1)-1),"")</f>
        <v/>
      </c>
      <c r="E114" s="104"/>
      <c r="F114" s="104"/>
      <c r="G114" s="11"/>
      <c r="H114" s="11"/>
      <c r="I114" s="11"/>
      <c r="J114" s="10" t="str">
        <f>IF(H114&lt;&gt;"",RIGHT(DIARIO!$F$1,LEN(DIARIO!$F$1)-1),"")</f>
        <v/>
      </c>
      <c r="K114" s="104"/>
      <c r="L114" s="104"/>
    </row>
    <row r="115" spans="1:12" x14ac:dyDescent="0.25">
      <c r="A115" s="17"/>
    </row>
    <row r="116" spans="1:12" ht="19.5" thickBot="1" x14ac:dyDescent="0.35">
      <c r="A116" s="106" t="str">
        <f>DIARIO!U13</f>
        <v>Gasto - Publicidad</v>
      </c>
      <c r="B116" s="106"/>
      <c r="C116" s="106"/>
      <c r="D116" s="106"/>
      <c r="E116" s="106"/>
      <c r="F116" s="106"/>
      <c r="G116" s="106"/>
      <c r="H116" s="106"/>
      <c r="I116" s="107" t="s">
        <v>54</v>
      </c>
      <c r="J116" s="107"/>
      <c r="K116" s="108">
        <f>DIARIO!V13</f>
        <v>602</v>
      </c>
      <c r="L116" s="108"/>
    </row>
    <row r="117" spans="1:12" ht="17.25" x14ac:dyDescent="0.3">
      <c r="A117" s="21" t="s">
        <v>1</v>
      </c>
      <c r="B117" s="22"/>
      <c r="C117" s="22" t="s">
        <v>2</v>
      </c>
      <c r="D117" s="22" t="s">
        <v>51</v>
      </c>
      <c r="E117" s="109" t="s">
        <v>52</v>
      </c>
      <c r="F117" s="109"/>
      <c r="G117" s="22" t="s">
        <v>1</v>
      </c>
      <c r="H117" s="22"/>
      <c r="I117" s="22" t="s">
        <v>2</v>
      </c>
      <c r="J117" s="22" t="s">
        <v>51</v>
      </c>
      <c r="K117" s="109" t="s">
        <v>53</v>
      </c>
      <c r="L117" s="110"/>
    </row>
    <row r="118" spans="1:12" ht="17.25" x14ac:dyDescent="0.3">
      <c r="A118" s="18" t="s">
        <v>64</v>
      </c>
      <c r="B118" s="10">
        <v>19</v>
      </c>
      <c r="C118" s="10"/>
      <c r="D118" s="10" t="str">
        <f>IF(B118&lt;&gt;"",RIGHT(DIARIO!$F$1,LEN(DIARIO!$F$1)-1),"")</f>
        <v>80</v>
      </c>
      <c r="E118" s="115">
        <f xml:space="preserve"> 749 - 749*7%</f>
        <v>696.56999999999994</v>
      </c>
      <c r="F118" s="115"/>
      <c r="G118" s="11"/>
      <c r="H118" s="11"/>
      <c r="I118" s="10"/>
      <c r="J118" s="10" t="str">
        <f>IF(H118&lt;&gt;"",RIGHT(DIARIO!$F$1,LEN(DIARIO!$F$1)-1),"")</f>
        <v/>
      </c>
      <c r="K118" s="104"/>
      <c r="L118" s="104"/>
    </row>
    <row r="119" spans="1:12" ht="17.25" x14ac:dyDescent="0.3">
      <c r="A119" s="11"/>
      <c r="B119" s="11"/>
      <c r="C119" s="11"/>
      <c r="D119" s="10" t="str">
        <f>IF(B119&lt;&gt;"",RIGHT(DIARIO!$F$1,LEN(DIARIO!$F$1)-1),"")</f>
        <v/>
      </c>
      <c r="E119" s="115"/>
      <c r="F119" s="115"/>
      <c r="G119" s="11"/>
      <c r="H119" s="11"/>
      <c r="I119" s="11"/>
      <c r="J119" s="10" t="str">
        <f>IF(H119&lt;&gt;"",RIGHT(DIARIO!$F$1,LEN(DIARIO!$F$1)-1),"")</f>
        <v/>
      </c>
      <c r="K119" s="104"/>
      <c r="L119" s="104"/>
    </row>
    <row r="120" spans="1:12" ht="17.25" x14ac:dyDescent="0.3">
      <c r="A120" s="11"/>
      <c r="B120" s="11"/>
      <c r="C120" s="11"/>
      <c r="D120" s="10" t="str">
        <f>IF(B120&lt;&gt;"",RIGHT(DIARIO!$F$1,LEN(DIARIO!$F$1)-1),"")</f>
        <v/>
      </c>
      <c r="E120" s="115"/>
      <c r="F120" s="115"/>
      <c r="G120" s="11"/>
      <c r="H120" s="11"/>
      <c r="I120" s="11"/>
      <c r="J120" s="10" t="str">
        <f>IF(H120&lt;&gt;"",RIGHT(DIARIO!$F$1,LEN(DIARIO!$F$1)-1),"")</f>
        <v/>
      </c>
      <c r="K120" s="104"/>
      <c r="L120" s="104"/>
    </row>
    <row r="121" spans="1:12" ht="17.25" x14ac:dyDescent="0.3">
      <c r="A121" s="11"/>
      <c r="B121" s="11"/>
      <c r="C121" s="11"/>
      <c r="D121" s="10" t="str">
        <f>IF(B121&lt;&gt;"",RIGHT(DIARIO!$F$1,LEN(DIARIO!$F$1)-1),"")</f>
        <v/>
      </c>
      <c r="E121" s="104"/>
      <c r="F121" s="104"/>
      <c r="G121" s="11"/>
      <c r="H121" s="11"/>
      <c r="I121" s="11"/>
      <c r="J121" s="10" t="str">
        <f>IF(H121&lt;&gt;"",RIGHT(DIARIO!$F$1,LEN(DIARIO!$F$1)-1),"")</f>
        <v/>
      </c>
      <c r="K121" s="104"/>
      <c r="L121" s="104"/>
    </row>
    <row r="122" spans="1:12" ht="17.25" x14ac:dyDescent="0.3">
      <c r="A122" s="11"/>
      <c r="B122" s="11"/>
      <c r="C122" s="11"/>
      <c r="D122" s="10" t="str">
        <f>IF(B122&lt;&gt;"",RIGHT(DIARIO!$F$1,LEN(DIARIO!$F$1)-1),"")</f>
        <v/>
      </c>
      <c r="E122" s="104"/>
      <c r="F122" s="104"/>
      <c r="G122" s="11"/>
      <c r="H122" s="11"/>
      <c r="I122" s="11"/>
      <c r="J122" s="10" t="str">
        <f>IF(H122&lt;&gt;"",RIGHT(DIARIO!$F$1,LEN(DIARIO!$F$1)-1),"")</f>
        <v/>
      </c>
      <c r="K122" s="104"/>
      <c r="L122" s="104"/>
    </row>
    <row r="123" spans="1:12" ht="17.25" x14ac:dyDescent="0.3">
      <c r="A123" s="11"/>
      <c r="B123" s="11"/>
      <c r="C123" s="11"/>
      <c r="D123" s="10" t="str">
        <f>IF(B123&lt;&gt;"",RIGHT(DIARIO!$F$1,LEN(DIARIO!$F$1)-1),"")</f>
        <v/>
      </c>
      <c r="E123" s="104"/>
      <c r="F123" s="104"/>
      <c r="G123" s="11"/>
      <c r="H123" s="11"/>
      <c r="I123" s="11"/>
      <c r="J123" s="10" t="str">
        <f>IF(H123&lt;&gt;"",RIGHT(DIARIO!$F$1,LEN(DIARIO!$F$1)-1),"")</f>
        <v/>
      </c>
      <c r="K123" s="104"/>
      <c r="L123" s="104"/>
    </row>
    <row r="124" spans="1:12" ht="17.25" x14ac:dyDescent="0.3">
      <c r="A124" s="11"/>
      <c r="B124" s="11"/>
      <c r="C124" s="11"/>
      <c r="D124" s="10" t="str">
        <f>IF(B124&lt;&gt;"",RIGHT(DIARIO!$F$1,LEN(DIARIO!$F$1)-1),"")</f>
        <v/>
      </c>
      <c r="E124" s="104"/>
      <c r="F124" s="104"/>
      <c r="G124" s="11"/>
      <c r="H124" s="11"/>
      <c r="I124" s="11"/>
      <c r="J124" s="10" t="str">
        <f>IF(H124&lt;&gt;"",RIGHT(DIARIO!$F$1,LEN(DIARIO!$F$1)-1),"")</f>
        <v/>
      </c>
      <c r="K124" s="104"/>
      <c r="L124" s="104"/>
    </row>
    <row r="125" spans="1:12" ht="17.25" x14ac:dyDescent="0.3">
      <c r="A125" s="11"/>
      <c r="B125" s="11"/>
      <c r="C125" s="11"/>
      <c r="D125" s="10" t="str">
        <f>IF(B125&lt;&gt;"",RIGHT(DIARIO!$F$1,LEN(DIARIO!$F$1)-1),"")</f>
        <v/>
      </c>
      <c r="E125" s="104"/>
      <c r="F125" s="104"/>
      <c r="G125" s="11"/>
      <c r="H125" s="11"/>
      <c r="I125" s="11"/>
      <c r="J125" s="10" t="str">
        <f>IF(H125&lt;&gt;"",RIGHT(DIARIO!$F$1,LEN(DIARIO!$F$1)-1),"")</f>
        <v/>
      </c>
      <c r="K125" s="104"/>
      <c r="L125" s="104"/>
    </row>
    <row r="126" spans="1:12" x14ac:dyDescent="0.25">
      <c r="A126" s="17"/>
    </row>
    <row r="127" spans="1:12" ht="19.5" thickBot="1" x14ac:dyDescent="0.35">
      <c r="A127" s="106" t="str">
        <f>DIARIO!U14</f>
        <v>Gastos - servicios públicos</v>
      </c>
      <c r="B127" s="106"/>
      <c r="C127" s="106"/>
      <c r="D127" s="106"/>
      <c r="E127" s="106"/>
      <c r="F127" s="106"/>
      <c r="G127" s="106"/>
      <c r="H127" s="106"/>
      <c r="I127" s="107" t="s">
        <v>54</v>
      </c>
      <c r="J127" s="107"/>
      <c r="K127" s="108">
        <f>DIARIO!V14</f>
        <v>603</v>
      </c>
      <c r="L127" s="108"/>
    </row>
    <row r="128" spans="1:12" ht="17.25" x14ac:dyDescent="0.3">
      <c r="A128" s="21" t="s">
        <v>1</v>
      </c>
      <c r="B128" s="22"/>
      <c r="C128" s="22" t="s">
        <v>2</v>
      </c>
      <c r="D128" s="22" t="s">
        <v>51</v>
      </c>
      <c r="E128" s="109" t="s">
        <v>52</v>
      </c>
      <c r="F128" s="109"/>
      <c r="G128" s="22" t="s">
        <v>1</v>
      </c>
      <c r="H128" s="22"/>
      <c r="I128" s="22" t="s">
        <v>2</v>
      </c>
      <c r="J128" s="22" t="s">
        <v>51</v>
      </c>
      <c r="K128" s="109" t="s">
        <v>53</v>
      </c>
      <c r="L128" s="110"/>
    </row>
    <row r="129" spans="1:12" ht="17.25" x14ac:dyDescent="0.3">
      <c r="A129" s="18" t="s">
        <v>64</v>
      </c>
      <c r="B129" s="10">
        <v>28</v>
      </c>
      <c r="C129" s="10"/>
      <c r="D129" s="10" t="str">
        <f>IF(B129&lt;&gt;"",RIGHT(DIARIO!$F$1,LEN(DIARIO!$F$1)-1),"")</f>
        <v>80</v>
      </c>
      <c r="E129" s="113">
        <f>580*93%</f>
        <v>539.4</v>
      </c>
      <c r="F129" s="114">
        <v>196</v>
      </c>
      <c r="G129" s="11"/>
      <c r="H129" s="11"/>
      <c r="I129" s="10"/>
      <c r="J129" s="10" t="str">
        <f>IF(H129&lt;&gt;"",RIGHT(DIARIO!$F$1,LEN(DIARIO!$F$1)-1),"")</f>
        <v/>
      </c>
      <c r="K129" s="104"/>
      <c r="L129" s="104"/>
    </row>
    <row r="130" spans="1:12" ht="17.25" x14ac:dyDescent="0.3">
      <c r="A130" s="11"/>
      <c r="B130" s="11"/>
      <c r="C130" s="11"/>
      <c r="D130" s="10" t="str">
        <f>IF(B130&lt;&gt;"",RIGHT(DIARIO!$F$1,LEN(DIARIO!$F$1)-1),"")</f>
        <v/>
      </c>
      <c r="E130" s="113"/>
      <c r="F130" s="114">
        <v>448</v>
      </c>
      <c r="G130" s="11"/>
      <c r="H130" s="11"/>
      <c r="I130" s="11"/>
      <c r="J130" s="10" t="str">
        <f>IF(H130&lt;&gt;"",RIGHT(DIARIO!$F$1,LEN(DIARIO!$F$1)-1),"")</f>
        <v/>
      </c>
      <c r="K130" s="104"/>
      <c r="L130" s="104"/>
    </row>
    <row r="131" spans="1:12" ht="17.25" x14ac:dyDescent="0.3">
      <c r="A131" s="11"/>
      <c r="B131" s="11"/>
      <c r="C131" s="11"/>
      <c r="D131" s="10" t="str">
        <f>IF(B131&lt;&gt;"",RIGHT(DIARIO!$F$1,LEN(DIARIO!$F$1)-1),"")</f>
        <v/>
      </c>
      <c r="E131" s="113"/>
      <c r="F131" s="114">
        <v>59.5</v>
      </c>
      <c r="G131" s="11"/>
      <c r="H131" s="11"/>
      <c r="I131" s="11"/>
      <c r="J131" s="10" t="str">
        <f>IF(H131&lt;&gt;"",RIGHT(DIARIO!$F$1,LEN(DIARIO!$F$1)-1),"")</f>
        <v/>
      </c>
      <c r="K131" s="104"/>
      <c r="L131" s="104"/>
    </row>
    <row r="132" spans="1:12" ht="17.25" x14ac:dyDescent="0.3">
      <c r="A132" s="11"/>
      <c r="B132" s="11"/>
      <c r="C132" s="11"/>
      <c r="D132" s="10" t="str">
        <f>IF(B132&lt;&gt;"",RIGHT(DIARIO!$F$1,LEN(DIARIO!$F$1)-1),"")</f>
        <v/>
      </c>
      <c r="E132" s="113"/>
      <c r="F132" s="114">
        <v>32.200000000000003</v>
      </c>
      <c r="G132" s="11"/>
      <c r="H132" s="11"/>
      <c r="I132" s="11"/>
      <c r="J132" s="10" t="str">
        <f>IF(H132&lt;&gt;"",RIGHT(DIARIO!$F$1,LEN(DIARIO!$F$1)-1),"")</f>
        <v/>
      </c>
      <c r="K132" s="104"/>
      <c r="L132" s="104"/>
    </row>
    <row r="133" spans="1:12" ht="17.25" x14ac:dyDescent="0.3">
      <c r="A133" s="11"/>
      <c r="B133" s="11"/>
      <c r="C133" s="11"/>
      <c r="D133" s="10" t="str">
        <f>IF(B133&lt;&gt;"",RIGHT(DIARIO!$F$1,LEN(DIARIO!$F$1)-1),"")</f>
        <v/>
      </c>
      <c r="E133" s="113"/>
      <c r="F133" s="114">
        <v>84</v>
      </c>
      <c r="G133" s="11"/>
      <c r="H133" s="11"/>
      <c r="I133" s="11"/>
      <c r="J133" s="10" t="str">
        <f>IF(H133&lt;&gt;"",RIGHT(DIARIO!$F$1,LEN(DIARIO!$F$1)-1),"")</f>
        <v/>
      </c>
      <c r="K133" s="104"/>
      <c r="L133" s="104"/>
    </row>
    <row r="134" spans="1:12" ht="17.25" x14ac:dyDescent="0.3">
      <c r="A134" s="11"/>
      <c r="B134" s="11"/>
      <c r="C134" s="11"/>
      <c r="D134" s="10" t="str">
        <f>IF(B134&lt;&gt;"",RIGHT(DIARIO!$F$1,LEN(DIARIO!$F$1)-1),"")</f>
        <v/>
      </c>
      <c r="E134" s="104"/>
      <c r="F134" s="104"/>
      <c r="G134" s="11"/>
      <c r="H134" s="11"/>
      <c r="I134" s="11"/>
      <c r="J134" s="10" t="str">
        <f>IF(H134&lt;&gt;"",RIGHT(DIARIO!$F$1,LEN(DIARIO!$F$1)-1),"")</f>
        <v/>
      </c>
      <c r="K134" s="104"/>
      <c r="L134" s="104"/>
    </row>
    <row r="135" spans="1:12" ht="17.25" x14ac:dyDescent="0.3">
      <c r="A135" s="11"/>
      <c r="B135" s="11"/>
      <c r="C135" s="11"/>
      <c r="D135" s="10" t="str">
        <f>IF(B135&lt;&gt;"",RIGHT(DIARIO!$F$1,LEN(DIARIO!$F$1)-1),"")</f>
        <v/>
      </c>
      <c r="E135" s="104"/>
      <c r="F135" s="104"/>
      <c r="G135" s="11"/>
      <c r="H135" s="11"/>
      <c r="I135" s="11"/>
      <c r="J135" s="10" t="str">
        <f>IF(H135&lt;&gt;"",RIGHT(DIARIO!$F$1,LEN(DIARIO!$F$1)-1),"")</f>
        <v/>
      </c>
      <c r="K135" s="104"/>
      <c r="L135" s="104"/>
    </row>
    <row r="136" spans="1:12" ht="17.25" x14ac:dyDescent="0.3">
      <c r="A136" s="11"/>
      <c r="B136" s="11"/>
      <c r="C136" s="11"/>
      <c r="D136" s="10" t="str">
        <f>IF(B136&lt;&gt;"",RIGHT(DIARIO!$F$1,LEN(DIARIO!$F$1)-1),"")</f>
        <v/>
      </c>
      <c r="E136" s="104"/>
      <c r="F136" s="104"/>
      <c r="G136" s="11"/>
      <c r="H136" s="11"/>
      <c r="I136" s="11"/>
      <c r="J136" s="10" t="str">
        <f>IF(H136&lt;&gt;"",RIGHT(DIARIO!$F$1,LEN(DIARIO!$F$1)-1),"")</f>
        <v/>
      </c>
      <c r="K136" s="104"/>
      <c r="L136" s="104"/>
    </row>
    <row r="137" spans="1:12" ht="17.25" x14ac:dyDescent="0.3">
      <c r="A137" s="17"/>
      <c r="D137" s="10" t="str">
        <f>IF(B137&lt;&gt;"",RIGHT(DIARIO!$F$1,LEN(DIARIO!$F$1)-1),"")</f>
        <v/>
      </c>
    </row>
    <row r="138" spans="1:12" ht="19.5" thickBot="1" x14ac:dyDescent="0.35">
      <c r="A138" s="106" t="str">
        <f>DIARIO!U15</f>
        <v>Gasto - ITBMS</v>
      </c>
      <c r="B138" s="106"/>
      <c r="C138" s="106"/>
      <c r="D138" s="106"/>
      <c r="E138" s="106"/>
      <c r="F138" s="106"/>
      <c r="G138" s="106"/>
      <c r="H138" s="106"/>
      <c r="I138" s="107" t="s">
        <v>54</v>
      </c>
      <c r="J138" s="107"/>
      <c r="K138" s="108">
        <f>DIARIO!V15</f>
        <v>606</v>
      </c>
      <c r="L138" s="108"/>
    </row>
    <row r="139" spans="1:12" ht="17.25" x14ac:dyDescent="0.3">
      <c r="A139" s="21" t="s">
        <v>1</v>
      </c>
      <c r="B139" s="22"/>
      <c r="C139" s="22" t="s">
        <v>2</v>
      </c>
      <c r="D139" s="22" t="s">
        <v>51</v>
      </c>
      <c r="E139" s="109" t="s">
        <v>52</v>
      </c>
      <c r="F139" s="109"/>
      <c r="G139" s="22" t="s">
        <v>1</v>
      </c>
      <c r="H139" s="22"/>
      <c r="I139" s="22" t="s">
        <v>2</v>
      </c>
      <c r="J139" s="22" t="s">
        <v>51</v>
      </c>
      <c r="K139" s="109" t="s">
        <v>53</v>
      </c>
      <c r="L139" s="110"/>
    </row>
    <row r="140" spans="1:12" ht="17.25" x14ac:dyDescent="0.3">
      <c r="A140" s="18" t="s">
        <v>64</v>
      </c>
      <c r="B140" s="7">
        <v>5</v>
      </c>
      <c r="C140" s="10"/>
      <c r="D140" s="10" t="str">
        <f>IF(B140&lt;&gt;"",RIGHT(DIARIO!$F$1,LEN(DIARIO!$F$1)-1),"")</f>
        <v>80</v>
      </c>
      <c r="E140" s="129">
        <v>392</v>
      </c>
      <c r="F140" s="130">
        <v>392</v>
      </c>
      <c r="G140" s="11"/>
      <c r="H140" s="11"/>
      <c r="I140" s="11"/>
      <c r="J140" s="10" t="str">
        <f>IF(H140&lt;&gt;"",RIGHT(DIARIO!$F$1,LEN(DIARIO!$F$1)-1),"")</f>
        <v/>
      </c>
      <c r="K140" s="104"/>
      <c r="L140" s="104"/>
    </row>
    <row r="141" spans="1:12" ht="17.25" x14ac:dyDescent="0.3">
      <c r="A141" s="11"/>
      <c r="B141" s="7">
        <v>9</v>
      </c>
      <c r="C141" s="11"/>
      <c r="D141" s="10" t="str">
        <f>IF(B141&lt;&gt;"",RIGHT(DIARIO!$F$1,LEN(DIARIO!$F$1)-1),"")</f>
        <v>80</v>
      </c>
      <c r="E141" s="129">
        <v>238.00000000000003</v>
      </c>
      <c r="F141" s="130">
        <v>238.00000000000003</v>
      </c>
      <c r="G141" s="11"/>
      <c r="H141" s="11"/>
      <c r="J141" s="10" t="str">
        <f>IF(H141&lt;&gt;"",RIGHT(DIARIO!$F$1,LEN(DIARIO!$F$1)-1),"")</f>
        <v/>
      </c>
      <c r="K141" s="104"/>
      <c r="L141" s="104"/>
    </row>
    <row r="142" spans="1:12" ht="17.25" x14ac:dyDescent="0.3">
      <c r="A142" s="11"/>
      <c r="B142" s="7">
        <v>19</v>
      </c>
      <c r="C142" s="11"/>
      <c r="D142" s="10" t="str">
        <f>IF(B142&lt;&gt;"",RIGHT(DIARIO!$F$1,LEN(DIARIO!$F$1)-1),"")</f>
        <v>80</v>
      </c>
      <c r="E142" s="129">
        <v>52.430000000000007</v>
      </c>
      <c r="F142" s="130">
        <v>52.430000000000007</v>
      </c>
      <c r="G142" s="11"/>
      <c r="H142" s="11"/>
      <c r="I142" s="11"/>
      <c r="J142" s="10" t="str">
        <f>IF(H142&lt;&gt;"",RIGHT(DIARIO!$F$1,LEN(DIARIO!$F$1)-1),"")</f>
        <v/>
      </c>
      <c r="K142" s="104"/>
      <c r="L142" s="104"/>
    </row>
    <row r="143" spans="1:12" ht="17.25" x14ac:dyDescent="0.3">
      <c r="A143" s="11"/>
      <c r="B143" s="9">
        <v>28</v>
      </c>
      <c r="C143" s="11"/>
      <c r="D143" s="10" t="str">
        <f>IF(B143&lt;&gt;"",RIGHT(DIARIO!$F$1,LEN(DIARIO!$F$1)-1),"")</f>
        <v>80</v>
      </c>
      <c r="E143" s="129">
        <v>40.6</v>
      </c>
      <c r="F143" s="130">
        <v>40.6</v>
      </c>
      <c r="G143" s="11"/>
      <c r="H143" s="11"/>
      <c r="I143" s="11"/>
      <c r="J143" s="10" t="str">
        <f>IF(H143&lt;&gt;"",RIGHT(DIARIO!$F$1,LEN(DIARIO!$F$1)-1),"")</f>
        <v/>
      </c>
      <c r="K143" s="104"/>
      <c r="L143" s="104"/>
    </row>
    <row r="144" spans="1:12" ht="17.25" x14ac:dyDescent="0.3">
      <c r="A144" s="11"/>
      <c r="B144" s="11"/>
      <c r="C144" s="11"/>
      <c r="D144" s="10" t="str">
        <f>IF(B144&lt;&gt;"",RIGHT(DIARIO!$F$1,LEN(DIARIO!$F$1)-1),"")</f>
        <v/>
      </c>
      <c r="E144" s="104"/>
      <c r="F144" s="104"/>
      <c r="G144" s="11"/>
      <c r="H144" s="11"/>
      <c r="I144" s="11"/>
      <c r="J144" s="10" t="str">
        <f>IF(H144&lt;&gt;"",RIGHT(DIARIO!$F$1,LEN(DIARIO!$F$1)-1),"")</f>
        <v/>
      </c>
      <c r="K144" s="104"/>
      <c r="L144" s="104"/>
    </row>
    <row r="145" spans="1:12" ht="17.25" x14ac:dyDescent="0.3">
      <c r="A145" s="11"/>
      <c r="B145" s="11"/>
      <c r="C145" s="11"/>
      <c r="D145" s="10" t="str">
        <f>IF(B145&lt;&gt;"",RIGHT(DIARIO!$F$1,LEN(DIARIO!$F$1)-1),"")</f>
        <v/>
      </c>
      <c r="E145" s="104"/>
      <c r="F145" s="104"/>
      <c r="G145" s="11"/>
      <c r="H145" s="11"/>
      <c r="I145" s="11"/>
      <c r="J145" s="10" t="str">
        <f>IF(H145&lt;&gt;"",RIGHT(DIARIO!$F$1,LEN(DIARIO!$F$1)-1),"")</f>
        <v/>
      </c>
      <c r="K145" s="104"/>
      <c r="L145" s="104"/>
    </row>
    <row r="146" spans="1:12" ht="17.25" x14ac:dyDescent="0.3">
      <c r="A146" s="11"/>
      <c r="B146" s="11"/>
      <c r="C146" s="11"/>
      <c r="D146" s="10" t="str">
        <f>IF(B146&lt;&gt;"",RIGHT(DIARIO!$F$1,LEN(DIARIO!$F$1)-1),"")</f>
        <v/>
      </c>
      <c r="E146" s="104"/>
      <c r="F146" s="104"/>
      <c r="G146" s="11"/>
      <c r="H146" s="11"/>
      <c r="I146" s="11"/>
      <c r="J146" s="10" t="str">
        <f>IF(H146&lt;&gt;"",RIGHT(DIARIO!$F$1,LEN(DIARIO!$F$1)-1),"")</f>
        <v/>
      </c>
      <c r="K146" s="104"/>
      <c r="L146" s="104"/>
    </row>
    <row r="147" spans="1:12" ht="17.25" x14ac:dyDescent="0.3">
      <c r="A147" s="11"/>
      <c r="B147" s="11"/>
      <c r="C147" s="11"/>
      <c r="D147" s="10" t="str">
        <f>IF(B147&lt;&gt;"",RIGHT(DIARIO!$F$1,LEN(DIARIO!$F$1)-1),"")</f>
        <v/>
      </c>
      <c r="E147" s="104"/>
      <c r="F147" s="104"/>
      <c r="G147" s="11"/>
      <c r="H147" s="11"/>
      <c r="I147" s="11"/>
      <c r="J147" s="10" t="str">
        <f>IF(H147&lt;&gt;"",RIGHT(DIARIO!$F$1,LEN(DIARIO!$F$1)-1),"")</f>
        <v/>
      </c>
      <c r="K147" s="104"/>
      <c r="L147" s="104"/>
    </row>
    <row r="149" spans="1:12" ht="19.5" thickBot="1" x14ac:dyDescent="0.35">
      <c r="A149" s="106">
        <f>DIARIO!U16</f>
        <v>0</v>
      </c>
      <c r="B149" s="106"/>
      <c r="C149" s="106"/>
      <c r="D149" s="106"/>
      <c r="E149" s="106"/>
      <c r="F149" s="106"/>
      <c r="G149" s="106"/>
      <c r="H149" s="106"/>
      <c r="I149" s="107" t="s">
        <v>54</v>
      </c>
      <c r="J149" s="107"/>
      <c r="K149" s="108">
        <f>DIARIO!V16</f>
        <v>0</v>
      </c>
      <c r="L149" s="108"/>
    </row>
    <row r="150" spans="1:12" ht="17.25" x14ac:dyDescent="0.3">
      <c r="A150" s="21" t="s">
        <v>1</v>
      </c>
      <c r="B150" s="22"/>
      <c r="C150" s="22" t="s">
        <v>2</v>
      </c>
      <c r="D150" s="22" t="s">
        <v>51</v>
      </c>
      <c r="E150" s="109" t="s">
        <v>52</v>
      </c>
      <c r="F150" s="109"/>
      <c r="G150" s="22" t="s">
        <v>1</v>
      </c>
      <c r="H150" s="22"/>
      <c r="I150" s="22" t="s">
        <v>2</v>
      </c>
      <c r="J150" s="22" t="s">
        <v>51</v>
      </c>
      <c r="K150" s="109" t="s">
        <v>53</v>
      </c>
      <c r="L150" s="110"/>
    </row>
    <row r="151" spans="1:12" ht="17.25" x14ac:dyDescent="0.3">
      <c r="A151" s="18"/>
      <c r="B151" s="10"/>
      <c r="C151" s="10"/>
      <c r="D151" s="10" t="str">
        <f>IF(B151&lt;&gt;"",RIGHT(DIARIO!$F$1,LEN(DIARIO!$F$1)-1),"")</f>
        <v/>
      </c>
      <c r="E151" s="105"/>
      <c r="F151" s="105">
        <v>196</v>
      </c>
      <c r="G151" s="11"/>
      <c r="H151" s="11"/>
      <c r="I151" s="11"/>
      <c r="J151" s="10" t="str">
        <f>IF(H151&lt;&gt;"",RIGHT(DIARIO!$F$1,LEN(DIARIO!$F$1)-1),"")</f>
        <v/>
      </c>
      <c r="K151" s="104"/>
      <c r="L151" s="104"/>
    </row>
    <row r="152" spans="1:12" ht="17.25" x14ac:dyDescent="0.3">
      <c r="A152" s="11"/>
      <c r="B152" s="11"/>
      <c r="C152" s="11"/>
      <c r="D152" s="10" t="str">
        <f>IF(B152&lt;&gt;"",RIGHT(DIARIO!$F$1,LEN(DIARIO!$F$1)-1),"")</f>
        <v/>
      </c>
      <c r="E152" s="105"/>
      <c r="F152" s="105">
        <v>448</v>
      </c>
      <c r="G152" s="11"/>
      <c r="H152" s="11"/>
      <c r="J152" s="10" t="str">
        <f>IF(H152&lt;&gt;"",RIGHT(DIARIO!$F$1,LEN(DIARIO!$F$1)-1),"")</f>
        <v/>
      </c>
      <c r="K152" s="104"/>
      <c r="L152" s="104"/>
    </row>
    <row r="153" spans="1:12" ht="17.25" x14ac:dyDescent="0.3">
      <c r="A153" s="11"/>
      <c r="B153" s="11"/>
      <c r="C153" s="11"/>
      <c r="D153" s="10" t="str">
        <f>IF(B153&lt;&gt;"",RIGHT(DIARIO!$F$1,LEN(DIARIO!$F$1)-1),"")</f>
        <v/>
      </c>
      <c r="E153" s="105"/>
      <c r="F153" s="105">
        <v>55.61</v>
      </c>
      <c r="G153" s="11"/>
      <c r="H153" s="11"/>
      <c r="I153" s="11"/>
      <c r="J153" s="10" t="str">
        <f>IF(H153&lt;&gt;"",RIGHT(DIARIO!$F$1,LEN(DIARIO!$F$1)-1),"")</f>
        <v/>
      </c>
      <c r="K153" s="104"/>
      <c r="L153" s="104"/>
    </row>
    <row r="154" spans="1:12" ht="17.25" x14ac:dyDescent="0.3">
      <c r="A154" s="11"/>
      <c r="B154" s="11"/>
      <c r="C154" s="11"/>
      <c r="D154" s="10" t="str">
        <f>IF(B154&lt;&gt;"",RIGHT(DIARIO!$F$1,LEN(DIARIO!$F$1)-1),"")</f>
        <v/>
      </c>
      <c r="E154" s="105"/>
      <c r="F154" s="105">
        <v>30.09</v>
      </c>
      <c r="G154" s="11"/>
      <c r="H154" s="11"/>
      <c r="I154" s="11"/>
      <c r="J154" s="10" t="str">
        <f>IF(H154&lt;&gt;"",RIGHT(DIARIO!$F$1,LEN(DIARIO!$F$1)-1),"")</f>
        <v/>
      </c>
      <c r="K154" s="104"/>
      <c r="L154" s="104"/>
    </row>
    <row r="155" spans="1:12" ht="17.25" x14ac:dyDescent="0.3">
      <c r="A155" s="11"/>
      <c r="B155" s="11"/>
      <c r="C155" s="11"/>
      <c r="D155" s="10" t="str">
        <f>IF(B155&lt;&gt;"",RIGHT(DIARIO!$F$1,LEN(DIARIO!$F$1)-1),"")</f>
        <v/>
      </c>
      <c r="E155" s="105"/>
      <c r="F155" s="105">
        <v>78.5</v>
      </c>
      <c r="G155" s="11"/>
      <c r="H155" s="11"/>
      <c r="I155" s="11"/>
      <c r="J155" s="10" t="str">
        <f>IF(H155&lt;&gt;"",RIGHT(DIARIO!$F$1,LEN(DIARIO!$F$1)-1),"")</f>
        <v/>
      </c>
      <c r="K155" s="104"/>
      <c r="L155" s="104"/>
    </row>
    <row r="156" spans="1:12" ht="17.25" x14ac:dyDescent="0.3">
      <c r="A156" s="11"/>
      <c r="B156" s="11"/>
      <c r="C156" s="11"/>
      <c r="D156" s="10" t="str">
        <f>IF(B156&lt;&gt;"",RIGHT(DIARIO!$F$1,LEN(DIARIO!$F$1)-1),"")</f>
        <v/>
      </c>
      <c r="E156" s="104"/>
      <c r="F156" s="104"/>
      <c r="G156" s="11"/>
      <c r="H156" s="11"/>
      <c r="I156" s="11"/>
      <c r="J156" s="10" t="str">
        <f>IF(H156&lt;&gt;"",RIGHT(DIARIO!$F$1,LEN(DIARIO!$F$1)-1),"")</f>
        <v/>
      </c>
      <c r="K156" s="104"/>
      <c r="L156" s="104"/>
    </row>
    <row r="157" spans="1:12" ht="17.25" x14ac:dyDescent="0.3">
      <c r="A157" s="11"/>
      <c r="B157" s="11"/>
      <c r="C157" s="11"/>
      <c r="D157" s="10" t="str">
        <f>IF(B157&lt;&gt;"",RIGHT(DIARIO!$F$1,LEN(DIARIO!$F$1)-1),"")</f>
        <v/>
      </c>
      <c r="E157" s="104"/>
      <c r="F157" s="104"/>
      <c r="G157" s="11"/>
      <c r="H157" s="11"/>
      <c r="I157" s="11"/>
      <c r="J157" s="10" t="str">
        <f>IF(H157&lt;&gt;"",RIGHT(DIARIO!$F$1,LEN(DIARIO!$F$1)-1),"")</f>
        <v/>
      </c>
      <c r="K157" s="104"/>
      <c r="L157" s="104"/>
    </row>
    <row r="158" spans="1:12" ht="17.25" x14ac:dyDescent="0.3">
      <c r="A158" s="11"/>
      <c r="B158" s="11"/>
      <c r="C158" s="11"/>
      <c r="D158" s="10" t="str">
        <f>IF(B158&lt;&gt;"",RIGHT(DIARIO!$F$1,LEN(DIARIO!$F$1)-1),"")</f>
        <v/>
      </c>
      <c r="E158" s="104"/>
      <c r="F158" s="104"/>
      <c r="G158" s="11"/>
      <c r="H158" s="11"/>
      <c r="I158" s="11"/>
      <c r="J158" s="10" t="str">
        <f>IF(H158&lt;&gt;"",RIGHT(DIARIO!$F$1,LEN(DIARIO!$F$1)-1),"")</f>
        <v/>
      </c>
      <c r="K158" s="104"/>
      <c r="L158" s="104"/>
    </row>
  </sheetData>
  <mergeCells count="304">
    <mergeCell ref="E136:F136"/>
    <mergeCell ref="K136:L136"/>
    <mergeCell ref="E133:F133"/>
    <mergeCell ref="K133:L133"/>
    <mergeCell ref="E134:F134"/>
    <mergeCell ref="K134:L134"/>
    <mergeCell ref="E135:F135"/>
    <mergeCell ref="K135:L135"/>
    <mergeCell ref="E130:F130"/>
    <mergeCell ref="K130:L130"/>
    <mergeCell ref="E131:F131"/>
    <mergeCell ref="K131:L131"/>
    <mergeCell ref="E132:F132"/>
    <mergeCell ref="K132:L132"/>
    <mergeCell ref="A127:H127"/>
    <mergeCell ref="I127:J127"/>
    <mergeCell ref="K127:L127"/>
    <mergeCell ref="E128:F128"/>
    <mergeCell ref="K128:L128"/>
    <mergeCell ref="E129:F129"/>
    <mergeCell ref="K129:L129"/>
    <mergeCell ref="E123:F123"/>
    <mergeCell ref="K123:L123"/>
    <mergeCell ref="E124:F124"/>
    <mergeCell ref="K124:L124"/>
    <mergeCell ref="E125:F125"/>
    <mergeCell ref="K125:L125"/>
    <mergeCell ref="E120:F120"/>
    <mergeCell ref="K120:L120"/>
    <mergeCell ref="E121:F121"/>
    <mergeCell ref="K121:L121"/>
    <mergeCell ref="E122:F122"/>
    <mergeCell ref="K122:L122"/>
    <mergeCell ref="E117:F117"/>
    <mergeCell ref="K117:L117"/>
    <mergeCell ref="E118:F118"/>
    <mergeCell ref="K118:L118"/>
    <mergeCell ref="E119:F119"/>
    <mergeCell ref="K119:L119"/>
    <mergeCell ref="E113:F113"/>
    <mergeCell ref="K113:L113"/>
    <mergeCell ref="E114:F114"/>
    <mergeCell ref="K114:L114"/>
    <mergeCell ref="A116:H116"/>
    <mergeCell ref="I116:J116"/>
    <mergeCell ref="K116:L116"/>
    <mergeCell ref="E110:F110"/>
    <mergeCell ref="K110:L110"/>
    <mergeCell ref="E111:F111"/>
    <mergeCell ref="K111:L111"/>
    <mergeCell ref="E112:F112"/>
    <mergeCell ref="K112:L112"/>
    <mergeCell ref="E107:F107"/>
    <mergeCell ref="K107:L107"/>
    <mergeCell ref="E108:F108"/>
    <mergeCell ref="K108:L108"/>
    <mergeCell ref="E109:F109"/>
    <mergeCell ref="K109:L109"/>
    <mergeCell ref="E103:F103"/>
    <mergeCell ref="K103:L103"/>
    <mergeCell ref="A105:H105"/>
    <mergeCell ref="I105:J105"/>
    <mergeCell ref="K105:L105"/>
    <mergeCell ref="E106:F106"/>
    <mergeCell ref="K106:L106"/>
    <mergeCell ref="E100:F100"/>
    <mergeCell ref="K100:L100"/>
    <mergeCell ref="E101:F101"/>
    <mergeCell ref="K101:L101"/>
    <mergeCell ref="E102:F102"/>
    <mergeCell ref="K102:L102"/>
    <mergeCell ref="E97:F97"/>
    <mergeCell ref="K97:L97"/>
    <mergeCell ref="E98:F98"/>
    <mergeCell ref="K98:L98"/>
    <mergeCell ref="E99:F99"/>
    <mergeCell ref="K99:L99"/>
    <mergeCell ref="A94:H94"/>
    <mergeCell ref="I94:J94"/>
    <mergeCell ref="K94:L94"/>
    <mergeCell ref="E95:F95"/>
    <mergeCell ref="K95:L95"/>
    <mergeCell ref="E96:F96"/>
    <mergeCell ref="K96:L96"/>
    <mergeCell ref="E90:F90"/>
    <mergeCell ref="K90:L90"/>
    <mergeCell ref="E91:F91"/>
    <mergeCell ref="K91:L91"/>
    <mergeCell ref="E92:F92"/>
    <mergeCell ref="K92:L92"/>
    <mergeCell ref="E87:F87"/>
    <mergeCell ref="K87:L87"/>
    <mergeCell ref="E88:F88"/>
    <mergeCell ref="K88:L88"/>
    <mergeCell ref="E89:F89"/>
    <mergeCell ref="K89:L89"/>
    <mergeCell ref="E84:F84"/>
    <mergeCell ref="K84:L84"/>
    <mergeCell ref="E85:F85"/>
    <mergeCell ref="K85:L85"/>
    <mergeCell ref="E86:F86"/>
    <mergeCell ref="K86:L86"/>
    <mergeCell ref="E80:F80"/>
    <mergeCell ref="K80:L80"/>
    <mergeCell ref="E81:F81"/>
    <mergeCell ref="K81:L81"/>
    <mergeCell ref="A83:H83"/>
    <mergeCell ref="I83:J83"/>
    <mergeCell ref="K83:L83"/>
    <mergeCell ref="E77:F77"/>
    <mergeCell ref="K77:L77"/>
    <mergeCell ref="E78:F78"/>
    <mergeCell ref="K78:L78"/>
    <mergeCell ref="E79:F79"/>
    <mergeCell ref="K79:L79"/>
    <mergeCell ref="E74:F74"/>
    <mergeCell ref="K74:L74"/>
    <mergeCell ref="E75:F75"/>
    <mergeCell ref="K75:L75"/>
    <mergeCell ref="E76:F76"/>
    <mergeCell ref="K76:L76"/>
    <mergeCell ref="K70:L70"/>
    <mergeCell ref="A72:H72"/>
    <mergeCell ref="I72:J72"/>
    <mergeCell ref="K72:L72"/>
    <mergeCell ref="E73:F73"/>
    <mergeCell ref="K73:L73"/>
    <mergeCell ref="E70:F70"/>
    <mergeCell ref="K65:L65"/>
    <mergeCell ref="K66:L66"/>
    <mergeCell ref="K67:L67"/>
    <mergeCell ref="K68:L68"/>
    <mergeCell ref="K69:L69"/>
    <mergeCell ref="E65:F65"/>
    <mergeCell ref="E66:F66"/>
    <mergeCell ref="E67:F67"/>
    <mergeCell ref="E68:F68"/>
    <mergeCell ref="E69:F69"/>
    <mergeCell ref="E59:F59"/>
    <mergeCell ref="K59:L59"/>
    <mergeCell ref="A61:H61"/>
    <mergeCell ref="E62:F62"/>
    <mergeCell ref="E63:F63"/>
    <mergeCell ref="E64:F64"/>
    <mergeCell ref="I61:J61"/>
    <mergeCell ref="K61:L61"/>
    <mergeCell ref="K62:L62"/>
    <mergeCell ref="K63:L63"/>
    <mergeCell ref="K64:L64"/>
    <mergeCell ref="E56:F56"/>
    <mergeCell ref="K56:L56"/>
    <mergeCell ref="E57:F57"/>
    <mergeCell ref="K57:L57"/>
    <mergeCell ref="E58:F58"/>
    <mergeCell ref="K58:L58"/>
    <mergeCell ref="E53:F53"/>
    <mergeCell ref="K53:L53"/>
    <mergeCell ref="E54:F54"/>
    <mergeCell ref="K54:L54"/>
    <mergeCell ref="E55:F55"/>
    <mergeCell ref="K55:L55"/>
    <mergeCell ref="A50:H50"/>
    <mergeCell ref="I50:J50"/>
    <mergeCell ref="K50:L50"/>
    <mergeCell ref="E51:F51"/>
    <mergeCell ref="K51:L51"/>
    <mergeCell ref="E52:F52"/>
    <mergeCell ref="K52:L52"/>
    <mergeCell ref="E46:F46"/>
    <mergeCell ref="K46:L46"/>
    <mergeCell ref="E47:F47"/>
    <mergeCell ref="K47:L47"/>
    <mergeCell ref="E48:F48"/>
    <mergeCell ref="K48:L48"/>
    <mergeCell ref="E43:F43"/>
    <mergeCell ref="K43:L43"/>
    <mergeCell ref="E44:F44"/>
    <mergeCell ref="K44:L44"/>
    <mergeCell ref="E45:F45"/>
    <mergeCell ref="K45:L45"/>
    <mergeCell ref="E40:F40"/>
    <mergeCell ref="K40:L40"/>
    <mergeCell ref="E41:F41"/>
    <mergeCell ref="K41:L41"/>
    <mergeCell ref="E42:F42"/>
    <mergeCell ref="K42:L42"/>
    <mergeCell ref="E36:F36"/>
    <mergeCell ref="K36:L36"/>
    <mergeCell ref="A38:H38"/>
    <mergeCell ref="I38:J38"/>
    <mergeCell ref="K38:L38"/>
    <mergeCell ref="E39:F39"/>
    <mergeCell ref="K39:L39"/>
    <mergeCell ref="E33:F33"/>
    <mergeCell ref="K33:L33"/>
    <mergeCell ref="E34:F34"/>
    <mergeCell ref="K34:L34"/>
    <mergeCell ref="E35:F35"/>
    <mergeCell ref="K35:L35"/>
    <mergeCell ref="E30:F30"/>
    <mergeCell ref="K30:L30"/>
    <mergeCell ref="E31:F31"/>
    <mergeCell ref="K31:L31"/>
    <mergeCell ref="E32:F32"/>
    <mergeCell ref="K32:L32"/>
    <mergeCell ref="E27:F27"/>
    <mergeCell ref="K27:L27"/>
    <mergeCell ref="E28:F28"/>
    <mergeCell ref="K28:L28"/>
    <mergeCell ref="E29:F29"/>
    <mergeCell ref="K29:L29"/>
    <mergeCell ref="E23:F23"/>
    <mergeCell ref="K23:L23"/>
    <mergeCell ref="K24:L24"/>
    <mergeCell ref="E24:F24"/>
    <mergeCell ref="A26:H26"/>
    <mergeCell ref="I26:J26"/>
    <mergeCell ref="K26:L26"/>
    <mergeCell ref="E20:F20"/>
    <mergeCell ref="K20:L20"/>
    <mergeCell ref="E21:F21"/>
    <mergeCell ref="K21:L21"/>
    <mergeCell ref="E22:F22"/>
    <mergeCell ref="K22:L22"/>
    <mergeCell ref="E17:F17"/>
    <mergeCell ref="K17:L17"/>
    <mergeCell ref="E18:F18"/>
    <mergeCell ref="K18:L18"/>
    <mergeCell ref="E19:F19"/>
    <mergeCell ref="K19:L19"/>
    <mergeCell ref="A14:H14"/>
    <mergeCell ref="I14:J14"/>
    <mergeCell ref="K14:L14"/>
    <mergeCell ref="E15:F15"/>
    <mergeCell ref="K15:L15"/>
    <mergeCell ref="E16:F16"/>
    <mergeCell ref="K16:L16"/>
    <mergeCell ref="E10:F10"/>
    <mergeCell ref="K10:L10"/>
    <mergeCell ref="E11:F11"/>
    <mergeCell ref="K11:L11"/>
    <mergeCell ref="E12:F12"/>
    <mergeCell ref="K12:L12"/>
    <mergeCell ref="E7:F7"/>
    <mergeCell ref="K7:L7"/>
    <mergeCell ref="E8:F8"/>
    <mergeCell ref="K8:L8"/>
    <mergeCell ref="E9:F9"/>
    <mergeCell ref="K9:L9"/>
    <mergeCell ref="E4:F4"/>
    <mergeCell ref="K4:L4"/>
    <mergeCell ref="E5:F5"/>
    <mergeCell ref="K5:L5"/>
    <mergeCell ref="E6:F6"/>
    <mergeCell ref="K6:L6"/>
    <mergeCell ref="A1:L1"/>
    <mergeCell ref="A2:H2"/>
    <mergeCell ref="I2:J2"/>
    <mergeCell ref="K2:L2"/>
    <mergeCell ref="A3:H3"/>
    <mergeCell ref="I3:J3"/>
    <mergeCell ref="K3:L3"/>
    <mergeCell ref="A138:H138"/>
    <mergeCell ref="I138:J138"/>
    <mergeCell ref="K138:L138"/>
    <mergeCell ref="E139:F139"/>
    <mergeCell ref="K139:L139"/>
    <mergeCell ref="E140:F140"/>
    <mergeCell ref="K140:L140"/>
    <mergeCell ref="E141:F141"/>
    <mergeCell ref="K141:L141"/>
    <mergeCell ref="E147:F147"/>
    <mergeCell ref="K147:L147"/>
    <mergeCell ref="E142:F142"/>
    <mergeCell ref="K142:L142"/>
    <mergeCell ref="E143:F143"/>
    <mergeCell ref="K143:L143"/>
    <mergeCell ref="E144:F144"/>
    <mergeCell ref="K144:L144"/>
    <mergeCell ref="E145:F145"/>
    <mergeCell ref="K145:L145"/>
    <mergeCell ref="E146:F146"/>
    <mergeCell ref="K146:L146"/>
    <mergeCell ref="A149:H149"/>
    <mergeCell ref="I149:J149"/>
    <mergeCell ref="K149:L149"/>
    <mergeCell ref="E150:F150"/>
    <mergeCell ref="K150:L150"/>
    <mergeCell ref="E151:F151"/>
    <mergeCell ref="K151:L151"/>
    <mergeCell ref="E152:F152"/>
    <mergeCell ref="K152:L152"/>
    <mergeCell ref="E158:F158"/>
    <mergeCell ref="K158:L158"/>
    <mergeCell ref="E153:F153"/>
    <mergeCell ref="K153:L153"/>
    <mergeCell ref="E154:F154"/>
    <mergeCell ref="K154:L154"/>
    <mergeCell ref="E155:F155"/>
    <mergeCell ref="K155:L155"/>
    <mergeCell ref="E156:F156"/>
    <mergeCell ref="K156:L156"/>
    <mergeCell ref="E157:F157"/>
    <mergeCell ref="K157:L157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1E11-43C2-44C7-8606-514B0C585542}">
  <sheetPr codeName="Hoja1">
    <tabColor theme="4"/>
  </sheetPr>
  <dimension ref="A1:AD71"/>
  <sheetViews>
    <sheetView tabSelected="1" topLeftCell="A24" zoomScale="92" zoomScaleNormal="68" workbookViewId="0">
      <selection activeCell="G38" sqref="G38"/>
    </sheetView>
  </sheetViews>
  <sheetFormatPr baseColWidth="10" defaultRowHeight="15" x14ac:dyDescent="0.25"/>
  <cols>
    <col min="1" max="1" width="8" customWidth="1"/>
    <col min="2" max="2" width="4.28515625" customWidth="1"/>
    <col min="3" max="3" width="27.7109375" customWidth="1"/>
    <col min="4" max="4" width="6.140625" customWidth="1"/>
    <col min="5" max="5" width="10.85546875" customWidth="1"/>
    <col min="6" max="6" width="11.42578125" customWidth="1"/>
    <col min="7" max="7" width="8" customWidth="1"/>
    <col min="8" max="8" width="3.140625" customWidth="1"/>
    <col min="9" max="9" width="16.5703125" customWidth="1"/>
    <col min="10" max="10" width="23.85546875" customWidth="1"/>
    <col min="11" max="11" width="3.5703125" customWidth="1"/>
    <col min="12" max="12" width="3.85546875" customWidth="1"/>
    <col min="13" max="13" width="14.7109375" bestFit="1" customWidth="1"/>
    <col min="14" max="14" width="17" customWidth="1"/>
    <col min="15" max="15" width="3.5703125" customWidth="1"/>
    <col min="16" max="16" width="3.85546875" customWidth="1"/>
    <col min="18" max="18" width="18.42578125" customWidth="1"/>
    <col min="19" max="19" width="5.28515625" customWidth="1"/>
    <col min="21" max="22" width="22.85546875" hidden="1" customWidth="1"/>
    <col min="27" max="27" width="35" hidden="1" customWidth="1"/>
    <col min="28" max="28" width="0" hidden="1" customWidth="1"/>
  </cols>
  <sheetData>
    <row r="1" spans="1:30" ht="24" x14ac:dyDescent="0.4">
      <c r="A1" s="95" t="s">
        <v>0</v>
      </c>
      <c r="B1" s="96"/>
      <c r="C1" s="96"/>
      <c r="D1" s="96"/>
      <c r="E1" s="97"/>
      <c r="F1" s="1" t="s">
        <v>61</v>
      </c>
      <c r="H1" s="6"/>
      <c r="I1" s="92" t="str">
        <f>UPPER(U3&amp;"-"&amp;V3)</f>
        <v>CAJA MENUDA-101</v>
      </c>
      <c r="J1" s="92"/>
      <c r="K1" s="28"/>
      <c r="L1" s="28"/>
      <c r="M1" s="92" t="str">
        <f>UPPER(U4&amp;"-"&amp;V4)</f>
        <v>BANCO-110</v>
      </c>
      <c r="N1" s="92"/>
      <c r="O1" s="6"/>
      <c r="P1" s="6"/>
      <c r="Q1" s="92" t="str">
        <f>UPPER(U5&amp;"-"&amp;V5)</f>
        <v>CUENTAS POR COBRAR-112</v>
      </c>
      <c r="R1" s="92"/>
      <c r="S1" s="6"/>
      <c r="Z1" s="27"/>
      <c r="AA1" s="75" t="s">
        <v>26</v>
      </c>
      <c r="AB1" s="76" t="s">
        <v>27</v>
      </c>
      <c r="AC1" s="27"/>
    </row>
    <row r="2" spans="1:30" ht="30" customHeight="1" x14ac:dyDescent="0.3">
      <c r="A2" s="98"/>
      <c r="B2" s="99"/>
      <c r="C2" s="99"/>
      <c r="D2" s="99"/>
      <c r="E2" s="99"/>
      <c r="F2" s="99"/>
      <c r="H2" s="7"/>
      <c r="I2" s="29" t="s">
        <v>4</v>
      </c>
      <c r="J2" s="30" t="s">
        <v>5</v>
      </c>
      <c r="K2" s="31"/>
      <c r="L2" s="32"/>
      <c r="M2" s="30" t="s">
        <v>4</v>
      </c>
      <c r="N2" s="29" t="s">
        <v>5</v>
      </c>
      <c r="O2" s="8"/>
      <c r="P2" s="7"/>
      <c r="Q2" s="30" t="s">
        <v>4</v>
      </c>
      <c r="R2" s="29" t="s">
        <v>5</v>
      </c>
      <c r="S2" s="8"/>
      <c r="AA2" s="77" t="s">
        <v>28</v>
      </c>
      <c r="AB2" s="78">
        <v>100</v>
      </c>
      <c r="AC2" s="26">
        <v>100</v>
      </c>
      <c r="AD2" s="27"/>
    </row>
    <row r="3" spans="1:30" ht="30" customHeight="1" x14ac:dyDescent="0.25">
      <c r="A3" s="100"/>
      <c r="B3" s="101"/>
      <c r="C3" s="101"/>
      <c r="D3" s="101"/>
      <c r="E3" s="101"/>
      <c r="F3" s="101"/>
      <c r="H3" s="7">
        <v>3</v>
      </c>
      <c r="I3" s="63">
        <v>300</v>
      </c>
      <c r="J3" s="24"/>
      <c r="K3" s="31"/>
      <c r="L3" s="7">
        <v>1</v>
      </c>
      <c r="M3" s="64">
        <v>185000</v>
      </c>
      <c r="N3" s="122">
        <v>300</v>
      </c>
      <c r="O3" s="8">
        <v>3</v>
      </c>
      <c r="P3" s="7">
        <v>13</v>
      </c>
      <c r="Q3" s="64">
        <f>(11800+11800*7%)*70%</f>
        <v>8838.1999999999989</v>
      </c>
      <c r="R3" s="123">
        <f>(11800+11800*7%)*70%</f>
        <v>8838.1999999999989</v>
      </c>
      <c r="S3" s="8">
        <v>23</v>
      </c>
      <c r="U3" s="82" t="str" cm="1">
        <f t="array" ref="U3:V15">_xlfn._xlws.SORT(_xlfn.UNIQUE(_xlfn._xlws.FILTER(C7:D51,ISNUMBER(D7:D51))),2,1)</f>
        <v>Caja Menuda</v>
      </c>
      <c r="V3" s="83">
        <v>101</v>
      </c>
      <c r="Z3" s="27"/>
      <c r="AA3" s="79" t="s">
        <v>9</v>
      </c>
      <c r="AB3" s="78">
        <v>101</v>
      </c>
      <c r="AC3" s="27"/>
    </row>
    <row r="4" spans="1:30" x14ac:dyDescent="0.25">
      <c r="A4" s="102"/>
      <c r="B4" s="103"/>
      <c r="C4" s="103"/>
      <c r="D4" s="103"/>
      <c r="E4" s="103"/>
      <c r="F4" s="103"/>
      <c r="H4" s="7"/>
      <c r="I4" s="28"/>
      <c r="J4" s="33"/>
      <c r="K4" s="28"/>
      <c r="L4" s="7">
        <v>13</v>
      </c>
      <c r="M4" s="34">
        <f>(11800+11800*7%)*30%</f>
        <v>3787.7999999999997</v>
      </c>
      <c r="N4" s="28">
        <f>5600+5600*7%</f>
        <v>5992</v>
      </c>
      <c r="O4" s="6">
        <v>5</v>
      </c>
      <c r="P4" s="7"/>
      <c r="Q4" s="34"/>
      <c r="R4" s="28"/>
      <c r="S4" s="6"/>
      <c r="U4" s="77" t="str">
        <v>Banco</v>
      </c>
      <c r="V4" s="84">
        <v>110</v>
      </c>
      <c r="Z4" s="27"/>
      <c r="AA4" s="79" t="s">
        <v>6</v>
      </c>
      <c r="AB4" s="78">
        <v>110</v>
      </c>
      <c r="AC4" s="27"/>
    </row>
    <row r="5" spans="1:30" ht="15.75" x14ac:dyDescent="0.25">
      <c r="A5" s="93" t="s">
        <v>1</v>
      </c>
      <c r="B5" s="94"/>
      <c r="C5" s="2" t="s">
        <v>2</v>
      </c>
      <c r="D5" s="2" t="s">
        <v>3</v>
      </c>
      <c r="E5" s="2" t="s">
        <v>4</v>
      </c>
      <c r="F5" s="2" t="s">
        <v>5</v>
      </c>
      <c r="H5" s="7"/>
      <c r="I5" s="28"/>
      <c r="J5" s="35"/>
      <c r="K5" s="28"/>
      <c r="L5" s="7">
        <v>23</v>
      </c>
      <c r="M5" s="36">
        <f>(11800+11800*7%)*70%</f>
        <v>8838.1999999999989</v>
      </c>
      <c r="N5" s="32">
        <v>5900</v>
      </c>
      <c r="O5" s="6">
        <v>15</v>
      </c>
      <c r="P5" s="7"/>
      <c r="Q5" s="36"/>
      <c r="R5" s="32"/>
      <c r="S5" s="6"/>
      <c r="U5" s="77" t="str">
        <v>Cuentas por Cobrar</v>
      </c>
      <c r="V5" s="84">
        <v>112</v>
      </c>
      <c r="Z5" s="27"/>
      <c r="AA5" s="79" t="s">
        <v>12</v>
      </c>
      <c r="AB5" s="78">
        <v>112</v>
      </c>
      <c r="AC5" s="27"/>
    </row>
    <row r="6" spans="1:30" ht="15.75" x14ac:dyDescent="0.25">
      <c r="A6" s="93">
        <v>2026</v>
      </c>
      <c r="B6" s="94"/>
      <c r="C6" s="3"/>
      <c r="D6" s="3"/>
      <c r="E6" s="3"/>
      <c r="F6" s="3"/>
      <c r="H6" s="9"/>
      <c r="I6" s="28"/>
      <c r="J6" s="37"/>
      <c r="K6" s="32"/>
      <c r="L6" s="9"/>
      <c r="M6" s="28"/>
      <c r="N6" s="37">
        <v>749</v>
      </c>
      <c r="O6" s="7">
        <v>19</v>
      </c>
      <c r="P6" s="9"/>
      <c r="Q6" s="28"/>
      <c r="R6" s="37"/>
      <c r="S6" s="7"/>
      <c r="U6" s="77" t="str">
        <v>Mobiliario de Oficina</v>
      </c>
      <c r="V6" s="84">
        <v>140</v>
      </c>
      <c r="Z6" s="27"/>
      <c r="AA6" s="79" t="s">
        <v>29</v>
      </c>
      <c r="AB6" s="78">
        <v>120</v>
      </c>
      <c r="AC6" s="27"/>
    </row>
    <row r="7" spans="1:30" ht="15" customHeight="1" x14ac:dyDescent="0.25">
      <c r="A7" s="2" t="s">
        <v>64</v>
      </c>
      <c r="B7" s="60">
        <v>1</v>
      </c>
      <c r="C7" s="66" t="s">
        <v>6</v>
      </c>
      <c r="D7" s="4">
        <f t="shared" ref="D7:D14" si="0">IFERROR(VLOOKUP(C7,$AA$2:$AB$40,2,FALSE),"")</f>
        <v>110</v>
      </c>
      <c r="E7" s="5">
        <v>185000</v>
      </c>
      <c r="F7" s="5"/>
      <c r="H7" s="7"/>
      <c r="I7" s="28"/>
      <c r="J7" s="33"/>
      <c r="K7" s="28"/>
      <c r="L7" s="7"/>
      <c r="M7" s="28"/>
      <c r="N7" s="33">
        <v>1500</v>
      </c>
      <c r="O7" s="6">
        <v>23</v>
      </c>
      <c r="P7" s="7"/>
      <c r="Q7" s="28"/>
      <c r="R7" s="33"/>
      <c r="S7" s="6"/>
      <c r="U7" s="77" t="str">
        <v>Equipo de Oficina</v>
      </c>
      <c r="V7" s="84">
        <v>150</v>
      </c>
      <c r="Z7" s="27"/>
      <c r="AA7" s="79" t="s">
        <v>30</v>
      </c>
      <c r="AB7" s="78">
        <v>130</v>
      </c>
      <c r="AC7" s="27"/>
    </row>
    <row r="8" spans="1:30" ht="15.75" x14ac:dyDescent="0.25">
      <c r="A8" s="2"/>
      <c r="B8" s="2"/>
      <c r="C8" s="67" t="s">
        <v>7</v>
      </c>
      <c r="D8" s="4">
        <f t="shared" si="0"/>
        <v>300</v>
      </c>
      <c r="E8" s="5"/>
      <c r="F8" s="5">
        <v>185000</v>
      </c>
      <c r="H8" s="7"/>
      <c r="I8" s="28"/>
      <c r="J8" s="33"/>
      <c r="K8" s="28"/>
      <c r="L8" s="7"/>
      <c r="M8" s="20"/>
      <c r="N8" s="33">
        <v>580</v>
      </c>
      <c r="O8" s="6">
        <v>28</v>
      </c>
      <c r="P8" s="7"/>
      <c r="Q8" s="20"/>
      <c r="R8" s="33"/>
      <c r="S8" s="6"/>
      <c r="U8" s="77" t="str">
        <v>Cuentas por pagar</v>
      </c>
      <c r="V8" s="84">
        <v>200</v>
      </c>
      <c r="Z8" s="27"/>
      <c r="AA8" s="79" t="s">
        <v>31</v>
      </c>
      <c r="AB8" s="78">
        <v>130</v>
      </c>
      <c r="AC8" s="27"/>
    </row>
    <row r="9" spans="1:30" ht="15" customHeight="1" x14ac:dyDescent="0.25">
      <c r="A9" s="2"/>
      <c r="B9" s="2"/>
      <c r="C9" s="68" t="s">
        <v>62</v>
      </c>
      <c r="D9" s="4" t="str">
        <f t="shared" si="0"/>
        <v/>
      </c>
      <c r="E9" s="5"/>
      <c r="F9" s="5"/>
      <c r="I9" s="28"/>
      <c r="J9" s="33"/>
      <c r="K9" s="28"/>
      <c r="M9" s="20"/>
      <c r="N9" s="33"/>
      <c r="O9" s="6"/>
      <c r="Q9" s="20"/>
      <c r="R9" s="33"/>
      <c r="S9" s="6"/>
      <c r="U9" s="77" t="str">
        <v>Tesoro Nacional - ITBMS</v>
      </c>
      <c r="V9" s="84">
        <v>201</v>
      </c>
      <c r="Z9" s="27"/>
      <c r="AA9" s="79" t="s">
        <v>16</v>
      </c>
      <c r="AB9" s="78">
        <v>140</v>
      </c>
      <c r="AC9" s="27"/>
    </row>
    <row r="10" spans="1:30" ht="15" customHeight="1" x14ac:dyDescent="0.25">
      <c r="A10" s="2"/>
      <c r="B10" s="2">
        <v>3</v>
      </c>
      <c r="C10" s="69" t="s">
        <v>65</v>
      </c>
      <c r="D10" s="4">
        <f t="shared" si="0"/>
        <v>101</v>
      </c>
      <c r="E10" s="5">
        <v>300</v>
      </c>
      <c r="F10" s="5"/>
      <c r="I10" s="28"/>
      <c r="J10" s="33"/>
      <c r="K10" s="28"/>
      <c r="M10" s="20"/>
      <c r="N10" s="33"/>
      <c r="O10" s="6"/>
      <c r="Q10" s="20"/>
      <c r="R10" s="33"/>
      <c r="S10" s="6"/>
      <c r="U10" s="77" t="str">
        <v>Capital</v>
      </c>
      <c r="V10" s="84">
        <v>300</v>
      </c>
      <c r="Z10" s="27"/>
      <c r="AA10" s="79" t="s">
        <v>32</v>
      </c>
      <c r="AB10" s="78">
        <v>140</v>
      </c>
      <c r="AC10" s="27"/>
    </row>
    <row r="11" spans="1:30" ht="15.75" x14ac:dyDescent="0.25">
      <c r="A11" s="2"/>
      <c r="B11" s="2"/>
      <c r="C11" s="68" t="s">
        <v>6</v>
      </c>
      <c r="D11" s="4">
        <f t="shared" si="0"/>
        <v>110</v>
      </c>
      <c r="E11" s="5"/>
      <c r="F11" s="5">
        <v>300</v>
      </c>
      <c r="I11" s="28"/>
      <c r="J11" s="39"/>
      <c r="K11" s="28"/>
      <c r="M11" s="20"/>
      <c r="N11" s="39"/>
      <c r="O11" s="6"/>
      <c r="Q11" s="20"/>
      <c r="R11" s="39"/>
      <c r="S11" s="6"/>
      <c r="U11" s="77" t="str">
        <v>Ingresos - Servicio Profesional</v>
      </c>
      <c r="V11" s="84">
        <v>400</v>
      </c>
      <c r="Z11" s="27"/>
      <c r="AA11" s="79" t="s">
        <v>8</v>
      </c>
      <c r="AB11" s="78">
        <v>150</v>
      </c>
      <c r="AC11" s="27"/>
    </row>
    <row r="12" spans="1:30" ht="15" customHeight="1" x14ac:dyDescent="0.25">
      <c r="A12" s="2"/>
      <c r="B12" s="2"/>
      <c r="C12" s="66" t="s">
        <v>66</v>
      </c>
      <c r="D12" s="4" t="str">
        <f t="shared" si="0"/>
        <v/>
      </c>
      <c r="E12" s="5"/>
      <c r="F12" s="5"/>
      <c r="I12" s="28">
        <f>SUM(I3:I11)</f>
        <v>300</v>
      </c>
      <c r="J12" s="28">
        <f>SUM(J3:J11)</f>
        <v>0</v>
      </c>
      <c r="K12" s="20"/>
      <c r="M12" s="28">
        <f>SUM(M3:M11)</f>
        <v>197626</v>
      </c>
      <c r="N12" s="28">
        <f>SUM(N3:N11)</f>
        <v>15021</v>
      </c>
      <c r="Q12" s="28">
        <f>SUM(Q3:Q11)</f>
        <v>8838.1999999999989</v>
      </c>
      <c r="R12" s="28">
        <f>SUM(R3:R11)</f>
        <v>8838.1999999999989</v>
      </c>
      <c r="U12" s="77" t="str">
        <v>Gasto - Salarios</v>
      </c>
      <c r="V12" s="84">
        <v>600</v>
      </c>
      <c r="Z12" s="27"/>
      <c r="AA12" s="79" t="s">
        <v>33</v>
      </c>
      <c r="AB12" s="78">
        <v>200</v>
      </c>
      <c r="AC12" s="27"/>
    </row>
    <row r="13" spans="1:30" ht="15" customHeight="1" thickBot="1" x14ac:dyDescent="0.3">
      <c r="A13" s="2"/>
      <c r="B13" s="2">
        <v>5</v>
      </c>
      <c r="C13" s="66" t="s">
        <v>68</v>
      </c>
      <c r="D13" s="4">
        <f t="shared" si="0"/>
        <v>150</v>
      </c>
      <c r="E13" s="5">
        <v>5600</v>
      </c>
      <c r="F13" s="5"/>
      <c r="I13" s="25">
        <f>IF(I12&gt;J12,I12-J12,"")</f>
        <v>300</v>
      </c>
      <c r="J13" s="120" t="str">
        <f>IF(J12&gt;I12,J12-I12,"")</f>
        <v/>
      </c>
      <c r="K13" s="120"/>
      <c r="L13" s="121"/>
      <c r="M13" s="127">
        <f>IF(M12&gt;N12,M12-N12,"")</f>
        <v>182605</v>
      </c>
      <c r="N13" s="120" t="str">
        <f>IF(N12&gt;M12,N12-M12,"")</f>
        <v/>
      </c>
      <c r="O13" s="121"/>
      <c r="P13" s="121"/>
      <c r="Q13" s="120" t="str">
        <f>IF(Q12&gt;R12,Q12-R12,"")</f>
        <v/>
      </c>
      <c r="R13" s="20" t="str">
        <f>IF(R12&gt;Q12,R12-Q12,"")</f>
        <v/>
      </c>
      <c r="U13" s="77" t="str">
        <v>Gasto - Publicidad</v>
      </c>
      <c r="V13" s="84">
        <v>602</v>
      </c>
      <c r="Z13" s="27"/>
      <c r="AA13" s="79" t="s">
        <v>13</v>
      </c>
      <c r="AB13" s="78">
        <v>201</v>
      </c>
      <c r="AC13" s="27"/>
    </row>
    <row r="14" spans="1:30" ht="15" customHeight="1" thickTop="1" x14ac:dyDescent="0.25">
      <c r="A14" s="2"/>
      <c r="B14" s="2"/>
      <c r="C14" s="66" t="s">
        <v>11</v>
      </c>
      <c r="D14" s="4">
        <f t="shared" si="0"/>
        <v>606</v>
      </c>
      <c r="E14" s="5">
        <f>E13*7%</f>
        <v>392.00000000000006</v>
      </c>
      <c r="F14" s="5"/>
      <c r="I14" s="20"/>
      <c r="J14" s="20"/>
      <c r="K14" s="20"/>
      <c r="M14" s="20"/>
      <c r="N14" s="20"/>
      <c r="Q14" s="20"/>
      <c r="R14" s="20"/>
      <c r="U14" s="77" t="str">
        <v>Gastos - servicios públicos</v>
      </c>
      <c r="V14" s="84">
        <v>603</v>
      </c>
      <c r="Z14" s="27"/>
      <c r="AA14" s="79" t="s">
        <v>34</v>
      </c>
      <c r="AB14" s="78">
        <v>210</v>
      </c>
      <c r="AC14" s="27"/>
    </row>
    <row r="15" spans="1:30" ht="25.5" customHeight="1" x14ac:dyDescent="0.25">
      <c r="A15" s="2"/>
      <c r="B15" s="2"/>
      <c r="C15" s="68" t="s">
        <v>6</v>
      </c>
      <c r="D15" s="4">
        <f>IFERROR(VLOOKUP(C15,$AA$2:$AB$40,2,FALSE),"")</f>
        <v>110</v>
      </c>
      <c r="E15" s="5"/>
      <c r="F15" s="5">
        <f>5600+5600*7%</f>
        <v>5992</v>
      </c>
      <c r="H15" s="6"/>
      <c r="I15" s="92" t="str">
        <f>UPPER(U6&amp;"-"&amp;V6)</f>
        <v>MOBILIARIO DE OFICINA-140</v>
      </c>
      <c r="J15" s="92"/>
      <c r="K15" s="28"/>
      <c r="L15" s="6"/>
      <c r="M15" s="92" t="str">
        <f>UPPER(U7&amp;"-"&amp;V7)</f>
        <v>EQUIPO DE OFICINA-150</v>
      </c>
      <c r="N15" s="92"/>
      <c r="O15" s="6"/>
      <c r="P15" s="6"/>
      <c r="Q15" s="92" t="str">
        <f>UPPER(U8&amp;"-"&amp;V8)</f>
        <v>CUENTAS POR PAGAR-200</v>
      </c>
      <c r="R15" s="92"/>
      <c r="S15" s="6"/>
      <c r="U15" s="85" t="str">
        <v>Gasto - ITBMS</v>
      </c>
      <c r="V15" s="86">
        <v>606</v>
      </c>
      <c r="Z15" s="27"/>
      <c r="AA15" s="79" t="s">
        <v>35</v>
      </c>
      <c r="AB15" s="78">
        <v>220</v>
      </c>
      <c r="AC15" s="27"/>
    </row>
    <row r="16" spans="1:30" ht="15" customHeight="1" x14ac:dyDescent="0.25">
      <c r="A16" s="2"/>
      <c r="B16" s="2"/>
      <c r="C16" s="66" t="s">
        <v>69</v>
      </c>
      <c r="D16" s="4" t="str">
        <f>IFERROR(VLOOKUP(C16,$AA$2:$AB$40,2,FALSE),"")</f>
        <v/>
      </c>
      <c r="E16" s="5"/>
      <c r="F16" s="5"/>
      <c r="H16" s="7"/>
      <c r="I16" s="30" t="s">
        <v>4</v>
      </c>
      <c r="J16" s="30" t="s">
        <v>5</v>
      </c>
      <c r="K16" s="31"/>
      <c r="L16" s="7"/>
      <c r="M16" s="30" t="s">
        <v>4</v>
      </c>
      <c r="N16" s="30" t="s">
        <v>5</v>
      </c>
      <c r="O16" s="8"/>
      <c r="P16" s="7"/>
      <c r="Q16" s="30" t="s">
        <v>4</v>
      </c>
      <c r="R16" s="30" t="s">
        <v>5</v>
      </c>
      <c r="S16" s="8"/>
      <c r="U16" s="87"/>
      <c r="V16" s="87"/>
      <c r="Z16" s="27"/>
      <c r="AA16" s="79" t="s">
        <v>7</v>
      </c>
      <c r="AB16" s="78">
        <v>300</v>
      </c>
      <c r="AC16" s="27"/>
    </row>
    <row r="17" spans="1:29" ht="15" customHeight="1" x14ac:dyDescent="0.25">
      <c r="A17" s="2"/>
      <c r="B17" s="2">
        <v>9</v>
      </c>
      <c r="C17" s="66" t="s">
        <v>73</v>
      </c>
      <c r="D17" s="4">
        <f>IFERROR(VLOOKUP(C17,$AA$2:$AB$40,2,FALSE),"")</f>
        <v>140</v>
      </c>
      <c r="E17" s="5">
        <v>3400</v>
      </c>
      <c r="F17" s="5"/>
      <c r="H17" s="7">
        <v>9</v>
      </c>
      <c r="I17" s="24">
        <v>3400</v>
      </c>
      <c r="J17" s="24"/>
      <c r="K17" s="31"/>
      <c r="L17" s="7">
        <v>5</v>
      </c>
      <c r="M17" s="24">
        <v>5600</v>
      </c>
      <c r="N17" s="24"/>
      <c r="O17" s="8"/>
      <c r="P17" s="7">
        <v>23</v>
      </c>
      <c r="Q17" s="24">
        <v>1500</v>
      </c>
      <c r="R17" s="24">
        <v>2638</v>
      </c>
      <c r="S17" s="8">
        <v>9</v>
      </c>
      <c r="U17" s="87"/>
      <c r="V17" s="87"/>
      <c r="Z17" s="27"/>
      <c r="AA17" s="79" t="s">
        <v>36</v>
      </c>
      <c r="AB17" s="78">
        <v>301</v>
      </c>
      <c r="AC17" s="27"/>
    </row>
    <row r="18" spans="1:29" ht="15.75" x14ac:dyDescent="0.25">
      <c r="A18" s="2"/>
      <c r="B18" s="2"/>
      <c r="C18" s="66" t="s">
        <v>11</v>
      </c>
      <c r="D18" s="4">
        <f>IFERROR(VLOOKUP(C18,$AA$2:$AB$40,2,FALSE),"")</f>
        <v>606</v>
      </c>
      <c r="E18" s="5">
        <f>3400*7%</f>
        <v>238.00000000000003</v>
      </c>
      <c r="F18" s="5"/>
      <c r="H18" s="7"/>
      <c r="I18" s="34"/>
      <c r="J18" s="28"/>
      <c r="K18" s="28"/>
      <c r="L18" s="7"/>
      <c r="M18" s="34"/>
      <c r="N18" s="28"/>
      <c r="O18" s="6"/>
      <c r="P18" s="7"/>
      <c r="Q18" s="34"/>
      <c r="R18" s="28"/>
      <c r="S18" s="6"/>
      <c r="Z18" s="27"/>
      <c r="AA18" s="79" t="s">
        <v>14</v>
      </c>
      <c r="AB18" s="78">
        <v>400</v>
      </c>
      <c r="AC18" s="27"/>
    </row>
    <row r="19" spans="1:29" ht="15" customHeight="1" x14ac:dyDescent="0.25">
      <c r="A19" s="2"/>
      <c r="B19" s="2"/>
      <c r="C19" s="68" t="s">
        <v>33</v>
      </c>
      <c r="D19" s="4">
        <f>IFERROR(VLOOKUP(C19,$AA$2:$AB$40,2,FALSE),"")</f>
        <v>200</v>
      </c>
      <c r="E19" s="5"/>
      <c r="F19" s="5">
        <f>E18+E17</f>
        <v>3638</v>
      </c>
      <c r="H19" s="7"/>
      <c r="I19" s="36"/>
      <c r="J19" s="32"/>
      <c r="K19" s="28"/>
      <c r="L19" s="7"/>
      <c r="M19" s="40"/>
      <c r="N19" s="32"/>
      <c r="O19" s="6"/>
      <c r="P19" s="7"/>
      <c r="Q19" s="36"/>
      <c r="R19" s="32"/>
      <c r="S19" s="6"/>
      <c r="Z19" s="27"/>
      <c r="AA19" s="79" t="s">
        <v>22</v>
      </c>
      <c r="AB19" s="78">
        <v>400</v>
      </c>
      <c r="AC19" s="27"/>
    </row>
    <row r="20" spans="1:29" ht="15" customHeight="1" x14ac:dyDescent="0.25">
      <c r="A20" s="2"/>
      <c r="B20" s="2"/>
      <c r="C20" s="66" t="s">
        <v>74</v>
      </c>
      <c r="D20" s="4" t="str">
        <f>IFERROR(VLOOKUP(C20,$AA$2:$AB$40,2,FALSE),"")</f>
        <v/>
      </c>
      <c r="E20" s="5"/>
      <c r="F20" s="5"/>
      <c r="H20" s="9"/>
      <c r="I20" s="28"/>
      <c r="J20" s="37"/>
      <c r="K20" s="32"/>
      <c r="L20" s="9"/>
      <c r="M20" s="38"/>
      <c r="N20" s="37"/>
      <c r="O20" s="7"/>
      <c r="P20" s="9"/>
      <c r="Q20" s="28"/>
      <c r="R20" s="37"/>
      <c r="S20" s="7"/>
      <c r="Z20" s="27"/>
      <c r="AA20" s="79" t="s">
        <v>37</v>
      </c>
      <c r="AB20" s="78">
        <v>400</v>
      </c>
      <c r="AC20" s="27"/>
    </row>
    <row r="21" spans="1:29" ht="15.75" x14ac:dyDescent="0.25">
      <c r="A21" s="2"/>
      <c r="B21" s="2">
        <v>13</v>
      </c>
      <c r="C21" s="70" t="s">
        <v>77</v>
      </c>
      <c r="D21" s="4">
        <f>IFERROR(VLOOKUP(C21,$AA$2:$AB$40,2,FALSE),"")</f>
        <v>112</v>
      </c>
      <c r="E21" s="5">
        <f>(11800+11800*7%)*70%</f>
        <v>8838.1999999999989</v>
      </c>
      <c r="F21" s="5"/>
      <c r="H21" s="7"/>
      <c r="I21" s="28"/>
      <c r="J21" s="33"/>
      <c r="K21" s="28"/>
      <c r="L21" s="7"/>
      <c r="M21" s="28"/>
      <c r="N21" s="33"/>
      <c r="O21" s="6"/>
      <c r="P21" s="7"/>
      <c r="Q21" s="28"/>
      <c r="R21" s="33"/>
      <c r="S21" s="6"/>
      <c r="Z21" s="27"/>
      <c r="AA21" s="79" t="s">
        <v>10</v>
      </c>
      <c r="AB21" s="78">
        <v>600</v>
      </c>
      <c r="AC21" s="27"/>
    </row>
    <row r="22" spans="1:29" ht="15.75" x14ac:dyDescent="0.25">
      <c r="A22" s="2"/>
      <c r="B22" s="2"/>
      <c r="C22" s="66" t="s">
        <v>6</v>
      </c>
      <c r="D22" s="4">
        <f>IFERROR(VLOOKUP(C22,$AA$2:$AB$40,2,FALSE),"")</f>
        <v>110</v>
      </c>
      <c r="E22" s="5">
        <f>(11800+11800*7%)*30%</f>
        <v>3787.7999999999997</v>
      </c>
      <c r="F22" s="5"/>
      <c r="H22" s="7"/>
      <c r="I22" s="20"/>
      <c r="J22" s="33"/>
      <c r="K22" s="28"/>
      <c r="L22" s="7"/>
      <c r="M22" s="20"/>
      <c r="N22" s="33"/>
      <c r="O22" s="6"/>
      <c r="P22" s="7"/>
      <c r="Q22" s="20"/>
      <c r="R22" s="33"/>
      <c r="S22" s="6"/>
      <c r="Z22" s="27"/>
      <c r="AA22" s="79" t="s">
        <v>38</v>
      </c>
      <c r="AB22" s="78">
        <v>600</v>
      </c>
      <c r="AC22" s="27"/>
    </row>
    <row r="23" spans="1:29" ht="15.75" x14ac:dyDescent="0.25">
      <c r="A23" s="2"/>
      <c r="B23" s="2"/>
      <c r="C23" s="68" t="s">
        <v>79</v>
      </c>
      <c r="D23" s="23">
        <f>IFERROR(VLOOKUP(C23,$AA$2:$AB$40,2,FALSE),"")</f>
        <v>201</v>
      </c>
      <c r="E23" s="5"/>
      <c r="F23" s="5">
        <f>11800*7%</f>
        <v>826.00000000000011</v>
      </c>
      <c r="I23" s="20"/>
      <c r="J23" s="33"/>
      <c r="K23" s="28"/>
      <c r="M23" s="20"/>
      <c r="N23" s="33"/>
      <c r="O23" s="6"/>
      <c r="Q23" s="20"/>
      <c r="R23" s="33"/>
      <c r="S23" s="6"/>
      <c r="Z23" s="27"/>
      <c r="AA23" s="79" t="s">
        <v>39</v>
      </c>
      <c r="AB23" s="78">
        <v>600</v>
      </c>
      <c r="AC23" s="27"/>
    </row>
    <row r="24" spans="1:29" ht="18.75" customHeight="1" x14ac:dyDescent="0.25">
      <c r="A24" s="2"/>
      <c r="B24" s="2"/>
      <c r="C24" s="68" t="s">
        <v>76</v>
      </c>
      <c r="D24" s="4">
        <f>IFERROR(VLOOKUP(C24,$AA$2:$AB$40,2,FALSE),"")</f>
        <v>400</v>
      </c>
      <c r="E24" s="5"/>
      <c r="F24" s="5">
        <v>11800</v>
      </c>
      <c r="I24" s="20"/>
      <c r="J24" s="33"/>
      <c r="K24" s="28"/>
      <c r="M24" s="20"/>
      <c r="N24" s="33"/>
      <c r="O24" s="6"/>
      <c r="Q24" s="20"/>
      <c r="R24" s="33"/>
      <c r="S24" s="6"/>
      <c r="Z24" s="27"/>
      <c r="AA24" s="79" t="s">
        <v>40</v>
      </c>
      <c r="AB24" s="78">
        <v>600</v>
      </c>
      <c r="AC24" s="27"/>
    </row>
    <row r="25" spans="1:29" ht="15" customHeight="1" x14ac:dyDescent="0.25">
      <c r="A25" s="2"/>
      <c r="B25" s="2"/>
      <c r="C25" s="66" t="s">
        <v>80</v>
      </c>
      <c r="D25" s="4" t="str">
        <f>IFERROR(VLOOKUP(C25,$AA$2:$AB$40,2,FALSE),"")</f>
        <v/>
      </c>
      <c r="E25" s="5"/>
      <c r="F25" s="5"/>
      <c r="I25" s="20"/>
      <c r="J25" s="39"/>
      <c r="K25" s="28"/>
      <c r="M25" s="20"/>
      <c r="N25" s="39"/>
      <c r="O25" s="6"/>
      <c r="Q25" s="20"/>
      <c r="R25" s="39"/>
      <c r="S25" s="6"/>
      <c r="Z25" s="27"/>
      <c r="AA25" s="79" t="s">
        <v>41</v>
      </c>
      <c r="AB25" s="78">
        <v>601</v>
      </c>
      <c r="AC25" s="27"/>
    </row>
    <row r="26" spans="1:29" ht="15.75" x14ac:dyDescent="0.25">
      <c r="A26" s="2"/>
      <c r="B26" s="2">
        <v>15</v>
      </c>
      <c r="C26" s="66" t="s">
        <v>57</v>
      </c>
      <c r="D26" s="4">
        <f>IFERROR(VLOOKUP(C26,$AA$2:$AB$40,2,FALSE),"")</f>
        <v>600</v>
      </c>
      <c r="E26" s="5">
        <v>5900</v>
      </c>
      <c r="F26" s="5"/>
      <c r="I26" s="28">
        <f>SUM(I17:I25)</f>
        <v>3400</v>
      </c>
      <c r="J26" s="28">
        <f>SUM(J17:J25)</f>
        <v>0</v>
      </c>
      <c r="K26" s="20"/>
      <c r="M26" s="28">
        <f>SUM(M17:M25)</f>
        <v>5600</v>
      </c>
      <c r="N26" s="28">
        <f>SUM(N17:N25)</f>
        <v>0</v>
      </c>
      <c r="Q26" s="28">
        <f>SUM(Q17:Q25)</f>
        <v>1500</v>
      </c>
      <c r="R26" s="28">
        <f>SUM(R17:R25)</f>
        <v>2638</v>
      </c>
      <c r="Z26" s="27"/>
      <c r="AA26" s="79" t="s">
        <v>42</v>
      </c>
      <c r="AB26" s="78">
        <v>601</v>
      </c>
      <c r="AC26" s="27"/>
    </row>
    <row r="27" spans="1:29" ht="15" customHeight="1" thickBot="1" x14ac:dyDescent="0.3">
      <c r="A27" s="2"/>
      <c r="B27" s="2"/>
      <c r="C27" s="68" t="s">
        <v>6</v>
      </c>
      <c r="D27" s="4">
        <f>IFERROR(VLOOKUP(C27,$AA$2:$AB$40,2,FALSE),"")</f>
        <v>110</v>
      </c>
      <c r="E27" s="5"/>
      <c r="F27" s="5">
        <v>5900</v>
      </c>
      <c r="I27" s="25">
        <f>IF(I26&gt;J26,I26-J26,"")</f>
        <v>3400</v>
      </c>
      <c r="J27" s="120" t="str">
        <f>IF(J26&gt;I26,J26-I26,"")</f>
        <v/>
      </c>
      <c r="K27" s="120"/>
      <c r="L27" s="121"/>
      <c r="M27" s="25">
        <f>IF(M26&gt;N26,M26-N26,"")</f>
        <v>5600</v>
      </c>
      <c r="N27" s="120" t="str">
        <f>IF(N26&gt;M26,N26-M26,"")</f>
        <v/>
      </c>
      <c r="O27" s="121"/>
      <c r="P27" s="121"/>
      <c r="Q27" s="120" t="str">
        <f>IF(Q26&gt;R26,Q26-R26,"")</f>
        <v/>
      </c>
      <c r="R27" s="25">
        <f>R26-Q26</f>
        <v>1138</v>
      </c>
      <c r="Z27" s="27"/>
      <c r="AA27" s="79" t="s">
        <v>43</v>
      </c>
      <c r="AB27" s="78">
        <v>601</v>
      </c>
      <c r="AC27" s="27"/>
    </row>
    <row r="28" spans="1:29" ht="15" customHeight="1" thickTop="1" x14ac:dyDescent="0.25">
      <c r="A28" s="2"/>
      <c r="B28" s="2"/>
      <c r="C28" s="71" t="s">
        <v>81</v>
      </c>
      <c r="D28" s="4" t="str">
        <f>IFERROR(VLOOKUP(C28,$AA$2:$AB$40,2,FALSE),"")</f>
        <v/>
      </c>
      <c r="E28" s="5"/>
      <c r="F28" s="5"/>
      <c r="H28" s="7"/>
      <c r="I28" s="20"/>
      <c r="J28" s="20"/>
      <c r="K28" s="28"/>
      <c r="M28" s="20"/>
      <c r="N28" s="20"/>
      <c r="O28" s="6"/>
      <c r="Q28" s="20"/>
      <c r="R28" s="20"/>
      <c r="S28" s="6"/>
      <c r="Z28" s="27"/>
      <c r="AA28" s="79" t="s">
        <v>15</v>
      </c>
      <c r="AB28" s="78">
        <v>601</v>
      </c>
      <c r="AC28" s="27"/>
    </row>
    <row r="29" spans="1:29" ht="15.75" x14ac:dyDescent="0.25">
      <c r="A29" s="2"/>
      <c r="B29" s="2">
        <v>19</v>
      </c>
      <c r="C29" s="66" t="s">
        <v>84</v>
      </c>
      <c r="D29" s="4">
        <f>IFERROR(VLOOKUP(C29,$AA$2:$AB$40,2,FALSE),"")</f>
        <v>602</v>
      </c>
      <c r="E29" s="5">
        <f xml:space="preserve"> 749 - 749*7%</f>
        <v>696.56999999999994</v>
      </c>
      <c r="F29" s="5"/>
      <c r="H29" s="6"/>
      <c r="I29" s="92" t="str">
        <f>UPPER(U9&amp;"-"&amp;V9)</f>
        <v>TESORO NACIONAL - ITBMS-201</v>
      </c>
      <c r="J29" s="92"/>
      <c r="K29" s="28"/>
      <c r="L29" s="6"/>
      <c r="M29" s="92" t="str">
        <f>UPPER(U10&amp;"-"&amp;V10)</f>
        <v>CAPITAL-300</v>
      </c>
      <c r="N29" s="92"/>
      <c r="O29" s="6"/>
      <c r="P29" s="6"/>
      <c r="Q29" s="92" t="str">
        <f>UPPER(U11&amp;"-"&amp;V11)</f>
        <v>INGRESOS - SERVICIO PROFESIONAL-400</v>
      </c>
      <c r="R29" s="92"/>
      <c r="S29" s="6"/>
      <c r="Z29" s="27"/>
      <c r="AA29" s="79" t="s">
        <v>24</v>
      </c>
      <c r="AB29" s="78">
        <v>602</v>
      </c>
      <c r="AC29" s="27"/>
    </row>
    <row r="30" spans="1:29" ht="15.75" x14ac:dyDescent="0.25">
      <c r="A30" s="2"/>
      <c r="B30" s="2"/>
      <c r="C30" s="66" t="s">
        <v>11</v>
      </c>
      <c r="D30" s="4">
        <f>IFERROR(VLOOKUP(C30,$AA$2:$AB$40,2,FALSE),"")</f>
        <v>606</v>
      </c>
      <c r="E30" s="5">
        <f>749*7%</f>
        <v>52.430000000000007</v>
      </c>
      <c r="F30" s="5"/>
      <c r="H30" s="7"/>
      <c r="I30" s="30" t="s">
        <v>4</v>
      </c>
      <c r="J30" s="29" t="s">
        <v>5</v>
      </c>
      <c r="K30" s="31"/>
      <c r="L30" s="7"/>
      <c r="M30" s="30" t="s">
        <v>4</v>
      </c>
      <c r="N30" s="30" t="s">
        <v>5</v>
      </c>
      <c r="O30" s="8"/>
      <c r="P30" s="7"/>
      <c r="Q30" s="30" t="s">
        <v>4</v>
      </c>
      <c r="R30" s="30" t="s">
        <v>5</v>
      </c>
      <c r="S30" s="8"/>
      <c r="Z30" s="27"/>
      <c r="AA30" s="79" t="s">
        <v>44</v>
      </c>
      <c r="AB30" s="78">
        <v>602</v>
      </c>
      <c r="AC30" s="27"/>
    </row>
    <row r="31" spans="1:29" ht="15.75" x14ac:dyDescent="0.25">
      <c r="A31" s="2"/>
      <c r="B31" s="2"/>
      <c r="C31" s="68" t="s">
        <v>6</v>
      </c>
      <c r="D31" s="4">
        <f>IFERROR(VLOOKUP(C31,$AA$2:$AB$40,2,FALSE),"")</f>
        <v>110</v>
      </c>
      <c r="E31" s="5"/>
      <c r="F31" s="5">
        <f>E30+E29</f>
        <v>749</v>
      </c>
      <c r="H31" s="7"/>
      <c r="I31" s="64"/>
      <c r="J31" s="65">
        <f>11800*7%</f>
        <v>826.00000000000011</v>
      </c>
      <c r="K31" s="8">
        <v>13</v>
      </c>
      <c r="L31" s="7"/>
      <c r="M31" s="24"/>
      <c r="N31" s="24">
        <v>185000</v>
      </c>
      <c r="O31" s="8">
        <v>1</v>
      </c>
      <c r="P31" s="7"/>
      <c r="Q31" s="24"/>
      <c r="R31" s="24">
        <v>11800</v>
      </c>
      <c r="S31" s="8">
        <v>13</v>
      </c>
      <c r="Z31" s="27"/>
      <c r="AA31" s="79" t="s">
        <v>45</v>
      </c>
      <c r="AB31" s="78">
        <v>602</v>
      </c>
      <c r="AC31" s="27"/>
    </row>
    <row r="32" spans="1:29" ht="15" customHeight="1" x14ac:dyDescent="0.25">
      <c r="A32" s="2"/>
      <c r="B32" s="2"/>
      <c r="C32" s="66" t="s">
        <v>86</v>
      </c>
      <c r="D32" s="4" t="str">
        <f>IFERROR(VLOOKUP(C32,$AA$2:$AB$40,2,FALSE),"")</f>
        <v/>
      </c>
      <c r="E32" s="5"/>
      <c r="F32" s="5"/>
      <c r="H32" s="7"/>
      <c r="I32" s="34"/>
      <c r="J32" s="28"/>
      <c r="K32" s="28"/>
      <c r="L32" s="7"/>
      <c r="M32" s="34"/>
      <c r="N32" s="28"/>
      <c r="O32" s="6"/>
      <c r="P32" s="7"/>
      <c r="Q32" s="34"/>
      <c r="R32" s="28"/>
      <c r="S32" s="6"/>
      <c r="Z32" s="27"/>
      <c r="AA32" s="79" t="s">
        <v>46</v>
      </c>
      <c r="AB32" s="78">
        <v>603</v>
      </c>
      <c r="AC32" s="27"/>
    </row>
    <row r="33" spans="1:29" ht="21" customHeight="1" x14ac:dyDescent="0.25">
      <c r="A33" s="2"/>
      <c r="B33" s="2">
        <v>23</v>
      </c>
      <c r="C33" s="66" t="s">
        <v>6</v>
      </c>
      <c r="D33" s="4">
        <f>IFERROR(VLOOKUP(C33,$AA$2:$AB$40,2,FALSE),"")</f>
        <v>110</v>
      </c>
      <c r="E33" s="5">
        <f>(11800+11800*7%)*70%</f>
        <v>8838.1999999999989</v>
      </c>
      <c r="F33" s="5"/>
      <c r="H33" s="7"/>
      <c r="I33" s="36"/>
      <c r="J33" s="32"/>
      <c r="K33" s="28"/>
      <c r="L33" s="7"/>
      <c r="M33" s="36"/>
      <c r="N33" s="32"/>
      <c r="O33" s="6"/>
      <c r="P33" s="7"/>
      <c r="Q33" s="36"/>
      <c r="R33" s="32"/>
      <c r="S33" s="6"/>
      <c r="Z33" s="27"/>
      <c r="AA33" s="79" t="s">
        <v>47</v>
      </c>
      <c r="AB33" s="78">
        <v>603</v>
      </c>
      <c r="AC33" s="27"/>
    </row>
    <row r="34" spans="1:29" ht="15.75" x14ac:dyDescent="0.25">
      <c r="A34" s="2"/>
      <c r="B34" s="2"/>
      <c r="C34" s="68" t="s">
        <v>77</v>
      </c>
      <c r="D34" s="4">
        <f>IFERROR(VLOOKUP(C34,$AA$2:$AB$40,2,FALSE),"")</f>
        <v>112</v>
      </c>
      <c r="E34" s="5"/>
      <c r="F34" s="5">
        <f>(11800+11800*7%)*70%</f>
        <v>8838.1999999999989</v>
      </c>
      <c r="H34" s="9"/>
      <c r="I34" s="28"/>
      <c r="J34" s="37"/>
      <c r="K34" s="32"/>
      <c r="L34" s="9"/>
      <c r="M34" s="28"/>
      <c r="N34" s="37"/>
      <c r="O34" s="7"/>
      <c r="P34" s="9"/>
      <c r="Q34" s="28"/>
      <c r="R34" s="37"/>
      <c r="S34" s="7"/>
      <c r="Z34" s="27"/>
      <c r="AA34" s="79" t="s">
        <v>48</v>
      </c>
      <c r="AB34" s="78">
        <v>603</v>
      </c>
      <c r="AC34" s="27"/>
    </row>
    <row r="35" spans="1:29" ht="15" customHeight="1" x14ac:dyDescent="0.25">
      <c r="A35" s="2"/>
      <c r="B35" s="2"/>
      <c r="C35" s="68" t="s">
        <v>83</v>
      </c>
      <c r="D35" s="4" t="str">
        <f t="shared" ref="D35:D39" si="1">IFERROR(VLOOKUP(C35,$AA$2:$AB$40,2,FALSE),"")</f>
        <v/>
      </c>
      <c r="E35" s="5"/>
      <c r="F35" s="5"/>
      <c r="H35" s="7"/>
      <c r="I35" s="28"/>
      <c r="J35" s="33"/>
      <c r="K35" s="28"/>
      <c r="L35" s="7"/>
      <c r="M35" s="28"/>
      <c r="N35" s="33"/>
      <c r="O35" s="6"/>
      <c r="P35" s="7"/>
      <c r="Q35" s="28"/>
      <c r="R35" s="33"/>
      <c r="S35" s="6"/>
      <c r="Z35" s="27"/>
      <c r="AA35" s="79" t="s">
        <v>49</v>
      </c>
      <c r="AB35" s="78">
        <v>604</v>
      </c>
      <c r="AC35" s="27"/>
    </row>
    <row r="36" spans="1:29" ht="15" customHeight="1" x14ac:dyDescent="0.25">
      <c r="A36" s="2"/>
      <c r="B36" s="2">
        <v>26</v>
      </c>
      <c r="C36" s="66" t="s">
        <v>72</v>
      </c>
      <c r="D36" s="4">
        <f t="shared" si="1"/>
        <v>200</v>
      </c>
      <c r="E36" s="5">
        <v>1500</v>
      </c>
      <c r="F36" s="5"/>
      <c r="H36" s="7"/>
      <c r="I36" s="28"/>
      <c r="J36" s="33"/>
      <c r="K36" s="28"/>
      <c r="L36" s="7"/>
      <c r="M36" s="28"/>
      <c r="N36" s="33"/>
      <c r="O36" s="6"/>
      <c r="P36" s="7"/>
      <c r="Q36" s="28"/>
      <c r="R36" s="33"/>
      <c r="S36" s="6"/>
      <c r="Z36" s="27"/>
      <c r="AA36" s="79" t="s">
        <v>50</v>
      </c>
      <c r="AB36" s="78">
        <v>604</v>
      </c>
      <c r="AC36" s="27"/>
    </row>
    <row r="37" spans="1:29" ht="15.75" x14ac:dyDescent="0.25">
      <c r="A37" s="2"/>
      <c r="B37" s="2"/>
      <c r="C37" s="66" t="s">
        <v>6</v>
      </c>
      <c r="D37" s="4">
        <f t="shared" si="1"/>
        <v>110</v>
      </c>
      <c r="E37" s="5"/>
      <c r="F37" s="5">
        <v>1500</v>
      </c>
      <c r="H37" s="7"/>
      <c r="I37" s="20"/>
      <c r="J37" s="33"/>
      <c r="K37" s="28"/>
      <c r="L37" s="7"/>
      <c r="M37" s="20"/>
      <c r="N37" s="33"/>
      <c r="O37" s="6"/>
      <c r="P37" s="7"/>
      <c r="Q37" s="20"/>
      <c r="R37" s="33"/>
      <c r="S37" s="6"/>
      <c r="Z37" s="27"/>
      <c r="AA37" s="79" t="s">
        <v>17</v>
      </c>
      <c r="AB37" s="78">
        <v>605</v>
      </c>
      <c r="AC37" s="27"/>
    </row>
    <row r="38" spans="1:29" ht="45" x14ac:dyDescent="0.25">
      <c r="A38" s="2"/>
      <c r="B38" s="2"/>
      <c r="C38" s="66" t="s">
        <v>87</v>
      </c>
      <c r="D38" s="4" t="str">
        <f t="shared" si="1"/>
        <v/>
      </c>
      <c r="E38" s="5"/>
      <c r="F38" s="5"/>
      <c r="I38" s="20"/>
      <c r="J38" s="33"/>
      <c r="K38" s="28"/>
      <c r="M38" s="20"/>
      <c r="N38" s="33"/>
      <c r="O38" s="6"/>
      <c r="Q38" s="20"/>
      <c r="R38" s="33"/>
      <c r="S38" s="6"/>
      <c r="Z38" s="27"/>
      <c r="AA38" s="79" t="s">
        <v>11</v>
      </c>
      <c r="AB38" s="78">
        <v>606</v>
      </c>
      <c r="AC38" s="27"/>
    </row>
    <row r="39" spans="1:29" ht="15" customHeight="1" x14ac:dyDescent="0.25">
      <c r="A39" s="2"/>
      <c r="B39" s="2">
        <v>28</v>
      </c>
      <c r="C39" s="79" t="s">
        <v>47</v>
      </c>
      <c r="D39" s="4">
        <f t="shared" si="1"/>
        <v>603</v>
      </c>
      <c r="E39" s="5">
        <f>580*93%</f>
        <v>539.4</v>
      </c>
      <c r="F39" s="5"/>
      <c r="I39" s="20"/>
      <c r="J39" s="33"/>
      <c r="K39" s="28"/>
      <c r="M39" s="20"/>
      <c r="N39" s="33"/>
      <c r="O39" s="6"/>
      <c r="Q39" s="20"/>
      <c r="R39" s="33"/>
      <c r="S39" s="6"/>
      <c r="Z39" s="27"/>
      <c r="AA39" s="79" t="s">
        <v>23</v>
      </c>
      <c r="AB39" s="78">
        <v>607</v>
      </c>
      <c r="AC39" s="27"/>
    </row>
    <row r="40" spans="1:29" ht="15.75" x14ac:dyDescent="0.25">
      <c r="A40" s="2"/>
      <c r="B40" s="2"/>
      <c r="C40" s="70" t="s">
        <v>11</v>
      </c>
      <c r="D40" s="4">
        <f>IFERROR(VLOOKUP(C40,$AA$2:$AB$40,2,FALSE),"")</f>
        <v>606</v>
      </c>
      <c r="E40" s="5">
        <f>580*7%</f>
        <v>40.6</v>
      </c>
      <c r="F40" s="5"/>
      <c r="I40" s="20"/>
      <c r="J40" s="39"/>
      <c r="K40" s="28"/>
      <c r="M40" s="20"/>
      <c r="N40" s="39"/>
      <c r="O40" s="6"/>
      <c r="Q40" s="20"/>
      <c r="R40" s="39"/>
      <c r="S40" s="6"/>
      <c r="Z40" s="27"/>
      <c r="AA40" s="80" t="s">
        <v>25</v>
      </c>
      <c r="AB40" s="81">
        <v>608</v>
      </c>
      <c r="AC40" s="27"/>
    </row>
    <row r="41" spans="1:29" ht="15.75" x14ac:dyDescent="0.25">
      <c r="A41" s="2"/>
      <c r="B41" s="2"/>
      <c r="C41" s="66" t="s">
        <v>6</v>
      </c>
      <c r="D41" s="4">
        <f>IFERROR(VLOOKUP(C41,$AA$2:$AB$40,2,FALSE),"")</f>
        <v>110</v>
      </c>
      <c r="E41" s="5"/>
      <c r="F41" s="5">
        <f>E39+E40</f>
        <v>580</v>
      </c>
      <c r="I41" s="28">
        <f>SUM(I31:I40)</f>
        <v>0</v>
      </c>
      <c r="J41" s="28">
        <f>SUM(J31:J40)</f>
        <v>826.00000000000011</v>
      </c>
      <c r="K41" s="20"/>
      <c r="M41" s="28">
        <f>SUM(M31:M40)</f>
        <v>0</v>
      </c>
      <c r="N41" s="28">
        <f>SUM(N31:N40)</f>
        <v>185000</v>
      </c>
      <c r="Q41" s="28">
        <f>SUM(Q31:Q40)</f>
        <v>0</v>
      </c>
      <c r="R41" s="28">
        <f>SUM(R31:R40)</f>
        <v>11800</v>
      </c>
      <c r="Z41" s="27"/>
      <c r="AC41" s="27"/>
    </row>
    <row r="42" spans="1:29" ht="15" customHeight="1" thickBot="1" x14ac:dyDescent="0.3">
      <c r="A42" s="2"/>
      <c r="B42" s="2"/>
      <c r="C42" s="66" t="s">
        <v>89</v>
      </c>
      <c r="D42" s="4" t="str">
        <f>IFERROR(VLOOKUP(C42,$AA$2:$AB$40,2,FALSE),"")</f>
        <v/>
      </c>
      <c r="E42" s="5"/>
      <c r="F42" s="5"/>
      <c r="I42" s="20" t="str">
        <f>IF(I41&gt;J41,I41-J41,"")</f>
        <v/>
      </c>
      <c r="J42" s="25">
        <f>IF(J41&gt;I41,J41-I41,"")</f>
        <v>826.00000000000011</v>
      </c>
      <c r="K42" s="20"/>
      <c r="M42" s="20" t="str">
        <f>IF(M41&gt;N41,M41-N41,"")</f>
        <v/>
      </c>
      <c r="N42" s="25">
        <f>IF(N41&gt;M41,N41-M41,"")</f>
        <v>185000</v>
      </c>
      <c r="Q42" s="120" t="str">
        <f>IF(Q41&gt;R41,Q41-R41,"")</f>
        <v/>
      </c>
      <c r="R42" s="25">
        <f>IF(R41&gt;Q41,R41-Q41,"")</f>
        <v>11800</v>
      </c>
      <c r="Z42" s="27"/>
      <c r="AC42" s="27"/>
    </row>
    <row r="43" spans="1:29" ht="15" customHeight="1" thickTop="1" x14ac:dyDescent="0.25">
      <c r="A43" s="61"/>
      <c r="B43" s="61"/>
      <c r="C43" s="68"/>
      <c r="D43" s="4" t="str">
        <f t="shared" ref="D43:D51" si="2">IFERROR(VLOOKUP(C43,$AA$2:$AB$40,2,FALSE),"")</f>
        <v/>
      </c>
      <c r="E43" s="53"/>
      <c r="F43" s="53"/>
      <c r="H43" s="6"/>
      <c r="I43" s="20"/>
      <c r="J43" s="20"/>
      <c r="K43" s="28"/>
      <c r="M43" s="20"/>
      <c r="N43" s="20"/>
      <c r="O43" s="6"/>
      <c r="Q43" s="20"/>
      <c r="R43" s="20"/>
      <c r="S43" s="6"/>
      <c r="Z43" s="27"/>
      <c r="AC43" s="27"/>
    </row>
    <row r="44" spans="1:29" ht="15.75" x14ac:dyDescent="0.25">
      <c r="A44" s="61"/>
      <c r="B44" s="61"/>
      <c r="C44" s="72"/>
      <c r="D44" s="4" t="str">
        <f t="shared" si="2"/>
        <v/>
      </c>
      <c r="E44" s="52"/>
      <c r="F44" s="52"/>
      <c r="H44" s="6"/>
      <c r="I44" s="92" t="str">
        <f>UPPER(U12&amp;"-"&amp;V12)</f>
        <v>GASTO - SALARIOS-600</v>
      </c>
      <c r="J44" s="92"/>
      <c r="K44" s="28"/>
      <c r="L44" s="6"/>
      <c r="M44" s="92" t="str">
        <f>UPPER(U13&amp;"-"&amp;V13)</f>
        <v>GASTO - PUBLICIDAD-602</v>
      </c>
      <c r="N44" s="92"/>
      <c r="O44" s="6"/>
      <c r="P44" s="6"/>
      <c r="Q44" s="92" t="str">
        <f>UPPER(U14&amp;"-"&amp;V14)</f>
        <v>GASTOS - SERVICIOS PÚBLICOS-603</v>
      </c>
      <c r="R44" s="92"/>
      <c r="S44" s="6"/>
    </row>
    <row r="45" spans="1:29" ht="15.75" x14ac:dyDescent="0.25">
      <c r="A45" s="62"/>
      <c r="B45" s="62"/>
      <c r="D45" s="42" t="str">
        <f t="shared" si="2"/>
        <v/>
      </c>
      <c r="E45" s="20"/>
      <c r="F45" s="20"/>
      <c r="H45" s="7"/>
      <c r="I45" s="30" t="s">
        <v>4</v>
      </c>
      <c r="J45" s="30" t="s">
        <v>5</v>
      </c>
      <c r="K45" s="31"/>
      <c r="L45" s="7"/>
      <c r="M45" s="30" t="s">
        <v>4</v>
      </c>
      <c r="N45" s="30" t="s">
        <v>5</v>
      </c>
      <c r="O45" s="8"/>
      <c r="P45" s="7"/>
      <c r="Q45" s="30" t="s">
        <v>4</v>
      </c>
      <c r="R45" s="30" t="s">
        <v>5</v>
      </c>
      <c r="S45" s="8"/>
    </row>
    <row r="46" spans="1:29" ht="15.75" x14ac:dyDescent="0.25">
      <c r="A46" s="62"/>
      <c r="B46" s="62"/>
      <c r="D46" s="42" t="str">
        <f t="shared" si="2"/>
        <v/>
      </c>
      <c r="H46" s="7">
        <v>15</v>
      </c>
      <c r="I46" s="34">
        <v>5900</v>
      </c>
      <c r="J46" s="24"/>
      <c r="K46" s="31"/>
      <c r="L46" s="7">
        <v>19</v>
      </c>
      <c r="M46" s="24">
        <f xml:space="preserve"> 749 - 749*7%</f>
        <v>696.56999999999994</v>
      </c>
      <c r="N46" s="24"/>
      <c r="O46" s="8"/>
      <c r="P46" s="7">
        <v>28</v>
      </c>
      <c r="Q46" s="24">
        <f>580*93%</f>
        <v>539.4</v>
      </c>
      <c r="R46" s="24"/>
      <c r="S46" s="8"/>
    </row>
    <row r="47" spans="1:29" ht="15.75" x14ac:dyDescent="0.25">
      <c r="A47" s="62"/>
      <c r="B47" s="62"/>
      <c r="D47" s="42" t="str">
        <f t="shared" si="2"/>
        <v/>
      </c>
      <c r="H47" s="7"/>
      <c r="J47" s="28"/>
      <c r="K47" s="28"/>
      <c r="L47" s="7"/>
      <c r="M47" s="34"/>
      <c r="N47" s="28"/>
      <c r="O47" s="6"/>
      <c r="P47" s="7"/>
      <c r="Q47" s="34"/>
      <c r="R47" s="28"/>
      <c r="S47" s="6"/>
    </row>
    <row r="48" spans="1:29" ht="15.75" x14ac:dyDescent="0.25">
      <c r="A48" s="62"/>
      <c r="B48" s="62"/>
      <c r="D48" s="42" t="str">
        <f t="shared" si="2"/>
        <v/>
      </c>
      <c r="H48" s="7"/>
      <c r="I48" s="36"/>
      <c r="J48" s="32"/>
      <c r="K48" s="28"/>
      <c r="L48" s="7"/>
      <c r="M48" s="36"/>
      <c r="N48" s="32"/>
      <c r="O48" s="6"/>
      <c r="P48" s="7"/>
      <c r="Q48" s="36"/>
      <c r="R48" s="32"/>
      <c r="S48" s="6"/>
    </row>
    <row r="49" spans="1:19" ht="15.75" x14ac:dyDescent="0.25">
      <c r="A49" s="62"/>
      <c r="B49" s="62"/>
      <c r="D49" s="42" t="str">
        <f t="shared" si="2"/>
        <v/>
      </c>
      <c r="H49" s="9"/>
      <c r="I49" s="28"/>
      <c r="J49" s="37"/>
      <c r="K49" s="32"/>
      <c r="L49" s="9"/>
      <c r="M49" s="28"/>
      <c r="N49" s="37"/>
      <c r="O49" s="7"/>
      <c r="P49" s="9"/>
      <c r="Q49" s="28"/>
      <c r="R49" s="37"/>
      <c r="S49" s="7"/>
    </row>
    <row r="50" spans="1:19" ht="15.75" x14ac:dyDescent="0.25">
      <c r="A50" s="62"/>
      <c r="B50" s="62"/>
      <c r="D50" s="42" t="str">
        <f t="shared" si="2"/>
        <v/>
      </c>
      <c r="H50" s="7"/>
      <c r="I50" s="28"/>
      <c r="J50" s="33"/>
      <c r="K50" s="28"/>
      <c r="L50" s="7"/>
      <c r="M50" s="28"/>
      <c r="N50" s="33"/>
      <c r="O50" s="6"/>
      <c r="P50" s="7"/>
      <c r="Q50" s="28"/>
      <c r="R50" s="33"/>
      <c r="S50" s="6"/>
    </row>
    <row r="51" spans="1:19" x14ac:dyDescent="0.25">
      <c r="D51" s="42" t="str">
        <f t="shared" si="2"/>
        <v/>
      </c>
      <c r="H51" s="7"/>
      <c r="I51" s="20"/>
      <c r="J51" s="33"/>
      <c r="K51" s="28"/>
      <c r="L51" s="7"/>
      <c r="M51" s="20"/>
      <c r="N51" s="33"/>
      <c r="O51" s="6"/>
      <c r="P51" s="7"/>
      <c r="Q51" s="20"/>
      <c r="R51" s="33"/>
      <c r="S51" s="6"/>
    </row>
    <row r="52" spans="1:19" ht="23.25" customHeight="1" x14ac:dyDescent="0.25">
      <c r="I52" s="20"/>
      <c r="J52" s="33"/>
      <c r="K52" s="28"/>
      <c r="M52" s="20"/>
      <c r="N52" s="33"/>
      <c r="O52" s="6"/>
      <c r="Q52" s="74"/>
      <c r="R52" s="28"/>
      <c r="S52" s="6"/>
    </row>
    <row r="53" spans="1:19" x14ac:dyDescent="0.25">
      <c r="I53" s="20"/>
      <c r="J53" s="33"/>
      <c r="K53" s="28"/>
      <c r="M53" s="20"/>
      <c r="N53" s="33"/>
      <c r="O53" s="6"/>
      <c r="Q53" s="20"/>
      <c r="R53" s="33"/>
      <c r="S53" s="6"/>
    </row>
    <row r="54" spans="1:19" x14ac:dyDescent="0.25">
      <c r="I54" s="20"/>
      <c r="J54" s="39"/>
      <c r="K54" s="28"/>
      <c r="M54" s="20"/>
      <c r="N54" s="39"/>
      <c r="O54" s="6"/>
      <c r="Q54" s="20"/>
      <c r="R54" s="39"/>
      <c r="S54" s="6"/>
    </row>
    <row r="55" spans="1:19" x14ac:dyDescent="0.25">
      <c r="I55" s="28">
        <f>SUM(I46:I54)</f>
        <v>5900</v>
      </c>
      <c r="J55" s="28">
        <f>SUM(J46:J54)</f>
        <v>0</v>
      </c>
      <c r="K55" s="20"/>
      <c r="M55" s="28">
        <f>SUM(M46:M54)</f>
        <v>696.56999999999994</v>
      </c>
      <c r="N55" s="28">
        <f>SUM(N46:N54)</f>
        <v>0</v>
      </c>
      <c r="Q55" s="28">
        <f>SUM(Q46:Q54)</f>
        <v>539.4</v>
      </c>
      <c r="R55" s="28">
        <f>SUM(R46:R54)</f>
        <v>0</v>
      </c>
    </row>
    <row r="56" spans="1:19" ht="15.75" thickBot="1" x14ac:dyDescent="0.3">
      <c r="I56" s="25">
        <f>IF(I55&gt;J55,I55-J55,"")</f>
        <v>5900</v>
      </c>
      <c r="J56" s="120" t="str">
        <f>IF(J55&gt;I55,J55-I55,"")</f>
        <v/>
      </c>
      <c r="K56" s="120"/>
      <c r="L56" s="121"/>
      <c r="M56" s="25">
        <f>IF(M55&gt;N55,M55-N55,"")</f>
        <v>696.56999999999994</v>
      </c>
      <c r="N56" s="120" t="str">
        <f>IF(N55&gt;M55,N55-M55,"")</f>
        <v/>
      </c>
      <c r="O56" s="121"/>
      <c r="P56" s="121"/>
      <c r="Q56" s="25">
        <f>IF(Q55&gt;R55,Q55-R55,"")</f>
        <v>539.4</v>
      </c>
      <c r="R56" s="20" t="str">
        <f>IF(R55&gt;Q55,R55-Q55,"")</f>
        <v/>
      </c>
    </row>
    <row r="57" spans="1:19" ht="15.75" thickTop="1" x14ac:dyDescent="0.25">
      <c r="H57" s="9"/>
      <c r="I57" s="20"/>
      <c r="J57" s="20"/>
      <c r="K57" s="32"/>
      <c r="M57" s="20"/>
      <c r="N57" s="20"/>
      <c r="Q57" s="20"/>
      <c r="R57" s="20"/>
    </row>
    <row r="58" spans="1:19" x14ac:dyDescent="0.25">
      <c r="H58" s="6"/>
      <c r="I58" s="92" t="str">
        <f>UPPER(U15&amp;"-"&amp;V15)</f>
        <v>GASTO - ITBMS-606</v>
      </c>
      <c r="J58" s="92"/>
      <c r="K58" s="28"/>
      <c r="L58" s="6"/>
      <c r="M58" s="92" t="str">
        <f>UPPER(U16&amp;"-"&amp;V16)</f>
        <v>-</v>
      </c>
      <c r="N58" s="92"/>
      <c r="O58" s="6"/>
      <c r="P58" s="6"/>
      <c r="Q58" s="92" t="str">
        <f>UPPER(U17&amp;"-"&amp;V17)</f>
        <v>-</v>
      </c>
      <c r="R58" s="92"/>
      <c r="S58" s="6"/>
    </row>
    <row r="59" spans="1:19" x14ac:dyDescent="0.25">
      <c r="H59" s="7"/>
      <c r="I59" s="30" t="s">
        <v>4</v>
      </c>
      <c r="J59" s="30" t="s">
        <v>5</v>
      </c>
      <c r="K59" s="31"/>
      <c r="L59" s="7"/>
      <c r="M59" s="30" t="s">
        <v>4</v>
      </c>
      <c r="N59" s="30" t="s">
        <v>5</v>
      </c>
      <c r="O59" s="8"/>
      <c r="P59" s="7"/>
      <c r="Q59" s="30" t="s">
        <v>4</v>
      </c>
      <c r="R59" s="30" t="s">
        <v>5</v>
      </c>
      <c r="S59" s="8"/>
    </row>
    <row r="60" spans="1:19" x14ac:dyDescent="0.25">
      <c r="H60" s="7">
        <v>5</v>
      </c>
      <c r="I60" s="24">
        <v>392</v>
      </c>
      <c r="J60" s="24"/>
      <c r="K60" s="31"/>
      <c r="L60" s="7"/>
      <c r="M60" s="24"/>
      <c r="N60" s="24"/>
      <c r="O60" s="8"/>
      <c r="P60" s="7"/>
      <c r="Q60" s="24"/>
      <c r="R60" s="24"/>
      <c r="S60" s="8"/>
    </row>
    <row r="61" spans="1:19" x14ac:dyDescent="0.25">
      <c r="H61" s="7">
        <v>9</v>
      </c>
      <c r="I61" s="34">
        <f>3400*7%</f>
        <v>238.00000000000003</v>
      </c>
      <c r="J61" s="28"/>
      <c r="K61" s="28"/>
      <c r="L61" s="7"/>
      <c r="M61" s="34"/>
      <c r="N61" s="28"/>
      <c r="O61" s="6"/>
      <c r="P61" s="7"/>
      <c r="Q61" s="34"/>
      <c r="R61" s="28"/>
      <c r="S61" s="6"/>
    </row>
    <row r="62" spans="1:19" x14ac:dyDescent="0.25">
      <c r="H62" s="7">
        <v>19</v>
      </c>
      <c r="I62" s="128">
        <f>749*7%</f>
        <v>52.430000000000007</v>
      </c>
      <c r="J62" s="32"/>
      <c r="K62" s="28"/>
      <c r="L62" s="7"/>
      <c r="M62" s="36"/>
      <c r="N62" s="32"/>
      <c r="O62" s="6"/>
      <c r="P62" s="7"/>
      <c r="Q62" s="36"/>
      <c r="R62" s="32"/>
      <c r="S62" s="6"/>
    </row>
    <row r="63" spans="1:19" x14ac:dyDescent="0.25">
      <c r="H63" s="9">
        <v>28</v>
      </c>
      <c r="I63" s="28">
        <f>580*7%</f>
        <v>40.6</v>
      </c>
      <c r="J63" s="37"/>
      <c r="K63" s="32"/>
      <c r="L63" s="9"/>
      <c r="M63" s="28"/>
      <c r="N63" s="37"/>
      <c r="O63" s="7"/>
      <c r="P63" s="9"/>
      <c r="Q63" s="28"/>
      <c r="R63" s="37"/>
      <c r="S63" s="7"/>
    </row>
    <row r="64" spans="1:19" x14ac:dyDescent="0.25">
      <c r="H64" s="7"/>
      <c r="I64" s="28"/>
      <c r="J64" s="33"/>
      <c r="K64" s="28"/>
      <c r="L64" s="7"/>
      <c r="M64" s="28"/>
      <c r="N64" s="33"/>
      <c r="O64" s="6"/>
      <c r="P64" s="7"/>
      <c r="Q64" s="28"/>
      <c r="R64" s="33"/>
      <c r="S64" s="6"/>
    </row>
    <row r="65" spans="8:19" x14ac:dyDescent="0.25">
      <c r="H65" s="7"/>
      <c r="I65" s="20"/>
      <c r="J65" s="33"/>
      <c r="K65" s="28"/>
      <c r="L65" s="7"/>
      <c r="M65" s="20"/>
      <c r="N65" s="33"/>
      <c r="O65" s="6"/>
      <c r="P65" s="7"/>
      <c r="Q65" s="20"/>
      <c r="R65" s="33"/>
      <c r="S65" s="6"/>
    </row>
    <row r="66" spans="8:19" x14ac:dyDescent="0.25">
      <c r="I66" s="20"/>
      <c r="J66" s="33"/>
      <c r="K66" s="28"/>
      <c r="M66" s="20"/>
      <c r="N66" s="33"/>
      <c r="O66" s="6"/>
      <c r="Q66" s="20"/>
      <c r="R66" s="33"/>
      <c r="S66" s="6"/>
    </row>
    <row r="67" spans="8:19" x14ac:dyDescent="0.25">
      <c r="I67" s="20"/>
      <c r="J67" s="33"/>
      <c r="K67" s="28"/>
      <c r="M67" s="20"/>
      <c r="N67" s="33"/>
      <c r="O67" s="6"/>
      <c r="Q67" s="20"/>
      <c r="R67" s="33"/>
      <c r="S67" s="6"/>
    </row>
    <row r="68" spans="8:19" x14ac:dyDescent="0.25">
      <c r="I68" s="20"/>
      <c r="J68" s="39"/>
      <c r="K68" s="28"/>
      <c r="M68" s="20"/>
      <c r="N68" s="39"/>
      <c r="O68" s="6"/>
      <c r="Q68" s="20"/>
      <c r="R68" s="39"/>
      <c r="S68" s="6"/>
    </row>
    <row r="69" spans="8:19" x14ac:dyDescent="0.25">
      <c r="I69" s="28">
        <f>SUM(I60:I68)</f>
        <v>723.03000000000009</v>
      </c>
      <c r="J69" s="28">
        <f>SUM(J60:J68)</f>
        <v>0</v>
      </c>
      <c r="K69" s="20"/>
      <c r="M69" s="28">
        <f>SUM(M60:M68)</f>
        <v>0</v>
      </c>
      <c r="N69" s="28">
        <f>SUM(N60:N68)</f>
        <v>0</v>
      </c>
      <c r="Q69" s="28">
        <f>SUM(Q60:Q68)</f>
        <v>0</v>
      </c>
      <c r="R69" s="28">
        <f>SUM(R60:R68)</f>
        <v>0</v>
      </c>
    </row>
    <row r="70" spans="8:19" ht="15.75" thickBot="1" x14ac:dyDescent="0.3">
      <c r="I70" s="25">
        <f>IF(I69&gt;J69,I69-J69,"")</f>
        <v>723.03000000000009</v>
      </c>
      <c r="J70" s="120" t="str">
        <f>IF(J69&gt;I69,J69-I69,"")</f>
        <v/>
      </c>
      <c r="K70" s="120"/>
      <c r="L70" s="121"/>
      <c r="M70" s="120" t="str">
        <f>IF(M69&gt;N69,M69-N69,"")</f>
        <v/>
      </c>
      <c r="N70" s="20" t="str">
        <f>IF(N69&gt;M69,N69-M69,"")</f>
        <v/>
      </c>
      <c r="Q70" s="20" t="str">
        <f>IF(Q69&gt;R69,Q69-R69,"")</f>
        <v/>
      </c>
      <c r="R70" s="20" t="str">
        <f>IF(R69&gt;Q69,R69-Q69,"")</f>
        <v/>
      </c>
    </row>
    <row r="71" spans="8:19" ht="15.75" thickTop="1" x14ac:dyDescent="0.25">
      <c r="H71" s="9"/>
      <c r="K71" s="7"/>
    </row>
  </sheetData>
  <mergeCells count="21">
    <mergeCell ref="A6:B6"/>
    <mergeCell ref="Q29:R29"/>
    <mergeCell ref="I15:J15"/>
    <mergeCell ref="Q15:R15"/>
    <mergeCell ref="I1:J1"/>
    <mergeCell ref="M1:N1"/>
    <mergeCell ref="Q1:R1"/>
    <mergeCell ref="M15:N15"/>
    <mergeCell ref="I29:J29"/>
    <mergeCell ref="M29:N29"/>
    <mergeCell ref="A1:E1"/>
    <mergeCell ref="A2:F2"/>
    <mergeCell ref="A3:F3"/>
    <mergeCell ref="A4:F4"/>
    <mergeCell ref="A5:B5"/>
    <mergeCell ref="I58:J58"/>
    <mergeCell ref="M58:N58"/>
    <mergeCell ref="Q58:R58"/>
    <mergeCell ref="I44:J44"/>
    <mergeCell ref="M44:N44"/>
    <mergeCell ref="Q44:R44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8C0B7E3A79604D8F87E99E08D90AB2" ma:contentTypeVersion="11" ma:contentTypeDescription="Create a new document." ma:contentTypeScope="" ma:versionID="174b603d9fdfeb112a1eed2f620322fe">
  <xsd:schema xmlns:xsd="http://www.w3.org/2001/XMLSchema" xmlns:xs="http://www.w3.org/2001/XMLSchema" xmlns:p="http://schemas.microsoft.com/office/2006/metadata/properties" xmlns:ns2="1ec974d5-79f4-40f9-ad07-9a7317027a8d" xmlns:ns3="9395d257-cfb8-45fb-b9fe-b8a70affdbb0" targetNamespace="http://schemas.microsoft.com/office/2006/metadata/properties" ma:root="true" ma:fieldsID="f6b4b8368776aeaa74880bddb1ca5fb3" ns2:_="" ns3:_="">
    <xsd:import namespace="1ec974d5-79f4-40f9-ad07-9a7317027a8d"/>
    <xsd:import namespace="9395d257-cfb8-45fb-b9fe-b8a70affdbb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c974d5-79f4-40f9-ad07-9a7317027a8d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348c8ee-fc48-4349-a3df-b5c7dc9d70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95d257-cfb8-45fb-b9fe-b8a70affdbb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e38ee28-1988-4a93-aca8-043500029078}" ma:internalName="TaxCatchAll" ma:showField="CatchAllData" ma:web="9395d257-cfb8-45fb-b9fe-b8a70affd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1ec974d5-79f4-40f9-ad07-9a7317027a8d" xsi:nil="true"/>
    <lcf76f155ced4ddcb4097134ff3c332f xmlns="1ec974d5-79f4-40f9-ad07-9a7317027a8d">
      <Terms xmlns="http://schemas.microsoft.com/office/infopath/2007/PartnerControls"/>
    </lcf76f155ced4ddcb4097134ff3c332f>
    <TaxCatchAll xmlns="9395d257-cfb8-45fb-b9fe-b8a70affdbb0" xsi:nil="true"/>
  </documentManagement>
</p:properties>
</file>

<file path=customXml/itemProps1.xml><?xml version="1.0" encoding="utf-8"?>
<ds:datastoreItem xmlns:ds="http://schemas.openxmlformats.org/officeDocument/2006/customXml" ds:itemID="{4BA3F6A6-14E2-43B2-B139-68DB2278C457}"/>
</file>

<file path=customXml/itemProps2.xml><?xml version="1.0" encoding="utf-8"?>
<ds:datastoreItem xmlns:ds="http://schemas.openxmlformats.org/officeDocument/2006/customXml" ds:itemID="{E7E31651-21F5-44B1-94E6-666543890CD8}"/>
</file>

<file path=customXml/itemProps3.xml><?xml version="1.0" encoding="utf-8"?>
<ds:datastoreItem xmlns:ds="http://schemas.openxmlformats.org/officeDocument/2006/customXml" ds:itemID="{34007ABD-0AFD-4416-A031-C09735DDD7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ENUNCIADO</vt:lpstr>
      <vt:lpstr>BALANCE</vt:lpstr>
      <vt:lpstr>MAYOR</vt:lpstr>
      <vt:lpstr>DIARIO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SOLIN RODRIGUEZ</dc:creator>
  <cp:lastModifiedBy>Aaron Ortiz</cp:lastModifiedBy>
  <dcterms:created xsi:type="dcterms:W3CDTF">2026-05-28T22:36:29Z</dcterms:created>
  <dcterms:modified xsi:type="dcterms:W3CDTF">2026-06-04T15:57:34Z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0x010100508C0B7E3A79604D8F87E99E08D90AB2</vt:lpwstr>
  </property>
</Properties>
</file>