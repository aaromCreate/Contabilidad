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arom\Downloads\"/>
    </mc:Choice>
  </mc:AlternateContent>
  <xr:revisionPtr revIDLastSave="0" documentId="13_ncr:1_{EA9B0BBF-67E1-4D8C-B3E9-87DFE1906251}" xr6:coauthVersionLast="47" xr6:coauthVersionMax="47" xr10:uidLastSave="{00000000-0000-0000-0000-000000000000}"/>
  <bookViews>
    <workbookView xWindow="-120" yWindow="-120" windowWidth="20730" windowHeight="11760" tabRatio="786" activeTab="5" xr2:uid="{00000000-000D-0000-FFFF-FFFF00000000}"/>
  </bookViews>
  <sheets>
    <sheet name="PROBLEMA" sheetId="4" r:id="rId1"/>
    <sheet name="DIARIO" sheetId="1" r:id="rId2"/>
    <sheet name="MAYOR" sheetId="2" r:id="rId3"/>
    <sheet name="BALANCE" sheetId="3" r:id="rId4"/>
    <sheet name="PROBLEMA No. 2" sheetId="5" r:id="rId5"/>
    <sheet name="DIARIO (2)" sheetId="6" r:id="rId6"/>
    <sheet name="MAYOR (2)" sheetId="8" r:id="rId7"/>
    <sheet name="BALANCE (2)" sheetId="9" r:id="rId8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9" i="6" l="1"/>
  <c r="D19" i="9"/>
  <c r="B19" i="9"/>
  <c r="Q16" i="6"/>
  <c r="Q24" i="6"/>
  <c r="M24" i="6"/>
  <c r="H24" i="6"/>
  <c r="M31" i="6"/>
  <c r="H31" i="6"/>
  <c r="I16" i="6"/>
  <c r="M15" i="6"/>
  <c r="Q7" i="6"/>
  <c r="M7" i="6"/>
  <c r="I15" i="6"/>
  <c r="D18" i="3"/>
  <c r="B18" i="3"/>
  <c r="B9" i="3"/>
  <c r="H17" i="1"/>
  <c r="M39" i="1"/>
  <c r="H39" i="1"/>
  <c r="R16" i="1"/>
  <c r="N24" i="1"/>
  <c r="H31" i="1"/>
  <c r="H6" i="1"/>
</calcChain>
</file>

<file path=xl/sharedStrings.xml><?xml version="1.0" encoding="utf-8"?>
<sst xmlns="http://schemas.openxmlformats.org/spreadsheetml/2006/main" count="529" uniqueCount="153">
  <si>
    <t>DIARIO</t>
  </si>
  <si>
    <t>CAPITAL</t>
  </si>
  <si>
    <t>DR (Recibe)</t>
  </si>
  <si>
    <t>CR (salidas)</t>
  </si>
  <si>
    <t>DR</t>
  </si>
  <si>
    <t>CR</t>
  </si>
  <si>
    <t>ACTIVOS</t>
  </si>
  <si>
    <t>COSTOS</t>
  </si>
  <si>
    <t>GASTOS</t>
  </si>
  <si>
    <t>FECHA</t>
  </si>
  <si>
    <t>DETALLE</t>
  </si>
  <si>
    <t>REF</t>
  </si>
  <si>
    <t>DR (salidas)</t>
  </si>
  <si>
    <t>CR (Recibe)</t>
  </si>
  <si>
    <t>PASIVO</t>
  </si>
  <si>
    <t>INGRESOS</t>
  </si>
  <si>
    <t>HOJA DE MAYOR</t>
  </si>
  <si>
    <t xml:space="preserve">No. </t>
  </si>
  <si>
    <t>ACTIVO</t>
  </si>
  <si>
    <t>REF.</t>
  </si>
  <si>
    <t>DÉBITO</t>
  </si>
  <si>
    <t>CRÉDITO</t>
  </si>
  <si>
    <t xml:space="preserve">COSTOS </t>
  </si>
  <si>
    <t>BALANCE DE PRUEBA O COMPROBACIÓN</t>
  </si>
  <si>
    <t>(en Balboas)</t>
  </si>
  <si>
    <t>NOMBRE DE LA CUENTA</t>
  </si>
  <si>
    <t>TOTALES</t>
  </si>
  <si>
    <t>La firma de Contadores HONESTOS, S.A., está ubicada en Calle 50 y 51 C, en Vía Porras y fue fundada por Mabel Gutiérrez, luego de que su padre le dejara una herencia, y luego de haber tenido experiencia como auditora interna en la firma de auditores Ramírez y Ramírez. Las transacciones en mayo, mientras comenzaba el nuevo negocio aparecen a continuación:</t>
  </si>
  <si>
    <t>Pagó los siguientes gastos: sueldos: $2,200 con el cheque del BBVA NO. 3311 y Transporte en efectivo por la suma de B/. 25.00.</t>
  </si>
  <si>
    <t>Realizó informes de contabilidad a Sebastián Moreno, por lo que le recibió $3,000 con el cheque del banco general 1400.</t>
  </si>
  <si>
    <t>Mabel Gutiérrez invirtió $150,000.00, en efectivo para iniciar el negocio.</t>
  </si>
  <si>
    <t>Abre la caja menuda de la empresa, mediante el cheque No. 3310 del banco BBVA, por la suma de B/.200.00</t>
  </si>
  <si>
    <t>Contadores Honestos abre su cuenta bancaria en el Banco BBVA, depositando la suma de $ 100,000.00.</t>
  </si>
  <si>
    <t>Factura servicios de contabilidad a la empresa JOYERIAS Y CADENAS, S.A. por la suma de B/. 2,500.00</t>
  </si>
  <si>
    <t>Compró a crédito en Mueblería y Equipos de Oficina Solís, $1,200.00 (2) silla tipo secretaria (2) escritorios y (1) archivador para la oficina.</t>
  </si>
  <si>
    <t>Realizo un auditoria a la empresa PRODUCTOS PARA EL HOGAR S.A., por lo cual recibió $1,600.00 con el cheque de la Caja de Ahorros 2124.</t>
  </si>
  <si>
    <t xml:space="preserve">Pagó $ 40,000 con el cheque del BBVA, No. 3300 por un edificio donde estará sus oficinas en el futuro. </t>
  </si>
  <si>
    <t>UNIVERSIDAD LATINA DE PANAMÁ</t>
  </si>
  <si>
    <t>EXPLICACIÓN Y CASO (Diario, Mayor y Balance)</t>
  </si>
  <si>
    <t>*1</t>
  </si>
  <si>
    <t>EDIFICIO</t>
  </si>
  <si>
    <t>INGRESOS - HONORARIOS PROFESIONALES</t>
  </si>
  <si>
    <t>CAJA MENUDA</t>
  </si>
  <si>
    <t>CUENTAS POR COBRAR</t>
  </si>
  <si>
    <t xml:space="preserve">GASTOS - SUELDOS </t>
  </si>
  <si>
    <t>GASTOS - TRANSPORTE</t>
  </si>
  <si>
    <t>Pagó $400.00 con el cheque No. 3320 del BBVA por concepto de cuentas por pagar.</t>
  </si>
  <si>
    <t>TAREA EN CASA (Diario, Mayor y Balance)</t>
  </si>
  <si>
    <t>01 de Marzo</t>
  </si>
  <si>
    <t>Allen Musser inició el negocio de Mantenimiento de Aires Acondicionados, invirtiendo $100,000.00 de sus propios fondos, en El Banco St. Georges Bank.</t>
  </si>
  <si>
    <t>16 de Marzo</t>
  </si>
  <si>
    <t>17 de Marzo</t>
  </si>
  <si>
    <t>18 de Marzo</t>
  </si>
  <si>
    <t>20 de Marzo</t>
  </si>
  <si>
    <t>13 de Marzo</t>
  </si>
  <si>
    <t>30 de Marzo</t>
  </si>
  <si>
    <t>02 de Marzo</t>
  </si>
  <si>
    <t xml:space="preserve">31 de Marzo </t>
  </si>
  <si>
    <t>Musser invierte $7,000.00, en la cochera de su casa, ya que no tiene espacio para ubicar todos los materiales que debe desechar a fin de año.</t>
  </si>
  <si>
    <t>12 de Marzo</t>
  </si>
  <si>
    <t>Musser brindó servicio a un cliente, cuyos aires estaban botando agua y  filtrando las paredes, este trabajo se debía realizar fuera de horarios de oficina, según especificaciones del dueño, quien no quería incomodar a sus clientes, por lo cual se facturó cuentas por cobrar por $2,500.00, que incluían las piezas y la mano de obra de Musser.</t>
  </si>
  <si>
    <t>29 de Marzo</t>
  </si>
  <si>
    <t>Musser retiró $1,100.00 para uso personal, con el cheque 5675 St. Georges Bank.</t>
  </si>
  <si>
    <t>Musser  recibió una factura de teléfono por $120.00 y la pagará la semana entrante.</t>
  </si>
  <si>
    <t>5 de marzo</t>
  </si>
  <si>
    <t>Musser  brindó servicio a Rodríguez-Guardia, S.A. y recibió $3,000.00, con el cheque 3312, de banco universal.</t>
  </si>
  <si>
    <t>Musser  pagó la cuenta del teléfono que había recibido y estaba pendiente, cheque 5681, banco St. Geroges Bank</t>
  </si>
  <si>
    <t>Musser obtuvo ingresos mediante el cheque 2566 del Banco de Boston, porque brindo un servicio de mantenimiento de 20 unidades Split a $125.00 c/u  a FRIGORIFICOS DE PANAMA, S.A.</t>
  </si>
  <si>
    <t>Se paga la quincena de los colaboradores con el cheque No. 5680 del St. Georges Bank</t>
  </si>
  <si>
    <t>Se abre la caja menuda de 200.00, a nombre de Estela Girón (secretaria) con el cheque 5669 St. Georges Bank., para gastos menores.</t>
  </si>
  <si>
    <t xml:space="preserve"> Musser pagó los siguientes gastos: renta de oficina $900.00, sueldos de empleados: $1,200.00 y servicios públicos $75.00., cheque 5670 St. Georges Bank.</t>
  </si>
  <si>
    <t>Musser recibió $1,200.00 en efectivo, pagados por el cliente, facturados el día 12 de marzo.</t>
  </si>
  <si>
    <t>Caja General</t>
  </si>
  <si>
    <t>Mayo</t>
  </si>
  <si>
    <t xml:space="preserve">Caja General </t>
  </si>
  <si>
    <t xml:space="preserve">     Capital</t>
  </si>
  <si>
    <t>Para registrar inversión inicial del negocio</t>
  </si>
  <si>
    <t>Banco</t>
  </si>
  <si>
    <t>Para registrar la apertura de la cuenta bancaria de la empresa BBVA</t>
  </si>
  <si>
    <t xml:space="preserve">Mobiliario de Oficina </t>
  </si>
  <si>
    <t>Cuenta por pagar</t>
  </si>
  <si>
    <t xml:space="preserve">Cuenta por Pagar </t>
  </si>
  <si>
    <t>Compra a crédito de mobiliario de oficina</t>
  </si>
  <si>
    <t>Edificio</t>
  </si>
  <si>
    <t xml:space="preserve">Banco </t>
  </si>
  <si>
    <t xml:space="preserve">Para registrar la compra del edificio por la empresa </t>
  </si>
  <si>
    <t xml:space="preserve">Ingresos - Honorarios profesionales </t>
  </si>
  <si>
    <t>Para registrar los honorarios contadores honestos del Banco BBVA con el cheque 1400</t>
  </si>
  <si>
    <t>Caja menuda</t>
  </si>
  <si>
    <t>Apertura de la caja menuda con el cheque 3310 de nuestro banco BBVA</t>
  </si>
  <si>
    <t xml:space="preserve">Para registrar el ingreso a la caja de ahorro por servicios honorarios </t>
  </si>
  <si>
    <t>Cuenta por cobrar  (cliente)</t>
  </si>
  <si>
    <t>Para registrar facturas de servicios de contabilidad  de Joyerías cadena s.a</t>
  </si>
  <si>
    <t>Cuentas por pagar</t>
  </si>
  <si>
    <t>Gasto - Salarios</t>
  </si>
  <si>
    <t>Gasto - Transporte</t>
  </si>
  <si>
    <t>Cuenta  pagada a traves de un cheque no. 3320 del banco BBVA</t>
  </si>
  <si>
    <t>Regístrate los gatos de sueldos y transporte pagados por el cheque 3311 del banco BBVA</t>
  </si>
  <si>
    <t>Banco - 110</t>
  </si>
  <si>
    <t>mayo</t>
  </si>
  <si>
    <t>Caja Menuda</t>
  </si>
  <si>
    <t>Cuenta por cobrar</t>
  </si>
  <si>
    <t>Mobiliario de oficina</t>
  </si>
  <si>
    <t>Ingreso - Honorarios profesionales</t>
  </si>
  <si>
    <t>Gasto - Salario</t>
  </si>
  <si>
    <t>CONTADORES HONESTOS S.A</t>
  </si>
  <si>
    <t>AL 31 DE MAYO 2025</t>
  </si>
  <si>
    <t>Caja general</t>
  </si>
  <si>
    <t>Capital</t>
  </si>
  <si>
    <t>Ingresos Honorarios profesionales</t>
  </si>
  <si>
    <t>Gasto salario</t>
  </si>
  <si>
    <t>Gasto Transporte</t>
  </si>
  <si>
    <t>Marzo</t>
  </si>
  <si>
    <t>BANCO</t>
  </si>
  <si>
    <t>Allen Musser invertio 100,000 de su fondo en el banco  St. Georges Bank.</t>
  </si>
  <si>
    <t xml:space="preserve">     Banco</t>
  </si>
  <si>
    <t>Se abre una caja menuda a nombre de Estela Girón  con el cheque 5669 St. Georges Bank</t>
  </si>
  <si>
    <t xml:space="preserve">     Ingresos - Servicio Profesionales</t>
  </si>
  <si>
    <t>Cuenta Por cobrar</t>
  </si>
  <si>
    <t>Se brindaron servicios a un cliente en cual se terminaron cobrando en cuentas por cobrar</t>
  </si>
  <si>
    <t>Se brindaron servicios y asi  recibiendo $3,000.00, del cheque 3312, del banco universal.</t>
  </si>
  <si>
    <t xml:space="preserve">     Ingresos - Honorarios Profesionales</t>
  </si>
  <si>
    <t>GASTO - SALARIOS</t>
  </si>
  <si>
    <t>?</t>
  </si>
  <si>
    <t>INGRESOS- SERVICIO PROFESIONALES</t>
  </si>
  <si>
    <t>Se registraron ingresos a travez de un cheque 2566 del Banco de Boston por brindar servicios</t>
  </si>
  <si>
    <t>GASTO - SERVICIOS PUBLICOS</t>
  </si>
  <si>
    <t>GASTO - ALQUILERES</t>
  </si>
  <si>
    <t>Gasto - Alquileres</t>
  </si>
  <si>
    <t>Gasto - Servicios Publicos</t>
  </si>
  <si>
    <t>Gasto - Telefono</t>
  </si>
  <si>
    <t>CUENTA POR PAGAR</t>
  </si>
  <si>
    <t>GASTO - TELEFONO</t>
  </si>
  <si>
    <t xml:space="preserve">     Cuenta por pagar</t>
  </si>
  <si>
    <t>Para registrar pago en efectivo de cliente por factura del 12 de marzo.</t>
  </si>
  <si>
    <t>Caja  o Caja general</t>
  </si>
  <si>
    <t xml:space="preserve">     Cuenta por cobrar</t>
  </si>
  <si>
    <t>CAJA O CAJA GENERAL</t>
  </si>
  <si>
    <t>Para registrar factura de teléfono recibida pendiente de pago.</t>
  </si>
  <si>
    <t>Para registrar pago de factura de teléfono pendiente.</t>
  </si>
  <si>
    <t>Pesonal o retiros</t>
  </si>
  <si>
    <t>Para registrar retiro de fondos de Musser para uso personal.</t>
  </si>
  <si>
    <t>CAPITAL - PERSONAL O RETIRO</t>
  </si>
  <si>
    <t>Gasto - salarios</t>
  </si>
  <si>
    <t>Se registra pago a colaboradores con el cheque 5680 del St. Georges Bank</t>
  </si>
  <si>
    <t>Para registrar gastos mediante el cheque 5670 St. Georges Bank</t>
  </si>
  <si>
    <t>Caja o Caja General</t>
  </si>
  <si>
    <t>Cuenta Por Cobrar</t>
  </si>
  <si>
    <t>Cuenta Por Pagar</t>
  </si>
  <si>
    <t xml:space="preserve">     Capital </t>
  </si>
  <si>
    <t xml:space="preserve">CAPITAL </t>
  </si>
  <si>
    <t>.</t>
  </si>
  <si>
    <t>AL 31 DE MARZO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</si>
</sst>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B/.&quot;\ * #,##0.00_);_(&quot;B/.&quot;\ * \(#,##0.00\);_(&quot;B/.&quot;\ * &quot;-&quot;??_);_(@_)"/>
    <numFmt numFmtId="165" formatCode="0.0"/>
    <numFmt numFmtId="166" formatCode="#,##0.000"/>
  </numFmts>
  <fonts count="1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scheme val="minor"/>
    </font>
    <font>
      <sz val="8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Bookman Old Style"/>
      <family val="1"/>
    </font>
    <font>
      <b/>
      <sz val="12"/>
      <color rgb="FFFF0000"/>
      <name val="Calibri"/>
      <family val="2"/>
      <scheme val="minor"/>
    </font>
    <font>
      <sz val="12"/>
      <color rgb="FF000000"/>
      <name val="Calibri "/>
    </font>
    <font>
      <b/>
      <sz val="1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uble">
        <color rgb="FF505050"/>
      </bottom>
      <diagonal/>
    </border>
    <border>
      <left/>
      <right style="thin">
        <color auto="1"/>
      </right>
      <top/>
      <bottom style="double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5" fillId="0" borderId="0" xfId="0" applyFont="1"/>
    <xf numFmtId="0" fontId="6" fillId="0" borderId="0" xfId="0" applyFont="1"/>
    <xf numFmtId="0" fontId="3" fillId="0" borderId="0" xfId="0" applyFont="1"/>
    <xf numFmtId="0" fontId="6" fillId="0" borderId="1" xfId="0" applyFont="1" applyBorder="1"/>
    <xf numFmtId="0" fontId="5" fillId="0" borderId="1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5" xfId="0" applyFont="1" applyBorder="1"/>
    <xf numFmtId="0" fontId="6" fillId="0" borderId="16" xfId="0" applyFont="1" applyBorder="1"/>
    <xf numFmtId="0" fontId="5" fillId="0" borderId="18" xfId="0" applyFont="1" applyBorder="1"/>
    <xf numFmtId="0" fontId="5" fillId="0" borderId="20" xfId="0" applyFont="1" applyBorder="1"/>
    <xf numFmtId="0" fontId="5" fillId="0" borderId="21" xfId="0" applyFont="1" applyBorder="1"/>
    <xf numFmtId="0" fontId="2" fillId="0" borderId="18" xfId="0" applyFont="1" applyBorder="1"/>
    <xf numFmtId="0" fontId="2" fillId="0" borderId="19" xfId="0" applyFont="1" applyBorder="1"/>
    <xf numFmtId="0" fontId="3" fillId="0" borderId="2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" fontId="0" fillId="0" borderId="7" xfId="0" applyNumberFormat="1" applyBorder="1"/>
    <xf numFmtId="4" fontId="0" fillId="0" borderId="0" xfId="0" applyNumberFormat="1" applyAlignment="1">
      <alignment horizontal="right"/>
    </xf>
    <xf numFmtId="3" fontId="0" fillId="0" borderId="1" xfId="0" applyNumberFormat="1" applyBorder="1"/>
    <xf numFmtId="0" fontId="0" fillId="0" borderId="1" xfId="0" applyBorder="1" applyAlignment="1">
      <alignment wrapText="1"/>
    </xf>
    <xf numFmtId="0" fontId="1" fillId="0" borderId="0" xfId="0" applyFont="1" applyAlignment="1">
      <alignment horizontal="right"/>
    </xf>
    <xf numFmtId="0" fontId="1" fillId="0" borderId="0" xfId="0" applyFont="1"/>
    <xf numFmtId="4" fontId="0" fillId="0" borderId="1" xfId="0" applyNumberFormat="1" applyBorder="1"/>
    <xf numFmtId="0" fontId="0" fillId="0" borderId="0" xfId="0" applyAlignment="1">
      <alignment horizontal="right" indent="4"/>
    </xf>
    <xf numFmtId="0" fontId="8" fillId="0" borderId="0" xfId="0" applyFont="1"/>
    <xf numFmtId="0" fontId="11" fillId="0" borderId="0" xfId="0" applyFont="1"/>
    <xf numFmtId="1" fontId="8" fillId="0" borderId="0" xfId="0" applyNumberFormat="1" applyFont="1"/>
    <xf numFmtId="17" fontId="6" fillId="0" borderId="18" xfId="0" applyNumberFormat="1" applyFont="1" applyBorder="1"/>
    <xf numFmtId="4" fontId="2" fillId="0" borderId="1" xfId="0" applyNumberFormat="1" applyFont="1" applyBorder="1"/>
    <xf numFmtId="2" fontId="2" fillId="0" borderId="1" xfId="0" applyNumberFormat="1" applyFont="1" applyBorder="1"/>
    <xf numFmtId="4" fontId="2" fillId="0" borderId="19" xfId="0" applyNumberFormat="1" applyFont="1" applyBorder="1"/>
    <xf numFmtId="164" fontId="8" fillId="0" borderId="32" xfId="0" applyNumberFormat="1" applyFont="1" applyBorder="1"/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4" fontId="0" fillId="0" borderId="5" xfId="0" applyNumberFormat="1" applyBorder="1"/>
    <xf numFmtId="2" fontId="0" fillId="0" borderId="5" xfId="0" applyNumberFormat="1" applyBorder="1"/>
    <xf numFmtId="0" fontId="0" fillId="0" borderId="7" xfId="0" applyBorder="1"/>
    <xf numFmtId="2" fontId="0" fillId="0" borderId="2" xfId="0" applyNumberFormat="1" applyBorder="1"/>
    <xf numFmtId="4" fontId="1" fillId="0" borderId="27" xfId="0" applyNumberFormat="1" applyFont="1" applyBorder="1"/>
    <xf numFmtId="2" fontId="0" fillId="0" borderId="7" xfId="0" applyNumberFormat="1" applyBorder="1"/>
    <xf numFmtId="2" fontId="0" fillId="0" borderId="9" xfId="0" applyNumberFormat="1" applyBorder="1" applyAlignment="1">
      <alignment horizontal="right"/>
    </xf>
    <xf numFmtId="2" fontId="1" fillId="0" borderId="28" xfId="0" applyNumberFormat="1" applyFont="1" applyBorder="1" applyAlignment="1">
      <alignment horizontal="center"/>
    </xf>
    <xf numFmtId="2" fontId="0" fillId="0" borderId="0" xfId="0" applyNumberFormat="1"/>
    <xf numFmtId="3" fontId="0" fillId="0" borderId="5" xfId="0" applyNumberFormat="1" applyBorder="1"/>
    <xf numFmtId="165" fontId="5" fillId="0" borderId="1" xfId="0" applyNumberFormat="1" applyFont="1" applyBorder="1" applyAlignment="1">
      <alignment horizontal="center"/>
    </xf>
    <xf numFmtId="165" fontId="5" fillId="0" borderId="19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5" fillId="0" borderId="19" xfId="0" applyFont="1" applyBorder="1"/>
    <xf numFmtId="0" fontId="5" fillId="0" borderId="22" xfId="0" applyFont="1" applyBorder="1"/>
    <xf numFmtId="4" fontId="5" fillId="0" borderId="1" xfId="0" applyNumberFormat="1" applyFont="1" applyBorder="1"/>
    <xf numFmtId="2" fontId="5" fillId="0" borderId="1" xfId="0" applyNumberFormat="1" applyFont="1" applyBorder="1"/>
    <xf numFmtId="0" fontId="0" fillId="2" borderId="1" xfId="0" applyFill="1" applyBorder="1"/>
    <xf numFmtId="16" fontId="12" fillId="3" borderId="0" xfId="0" applyNumberFormat="1" applyFont="1" applyFill="1" applyAlignment="1">
      <alignment horizontal="justify" vertical="center"/>
    </xf>
    <xf numFmtId="0" fontId="12" fillId="3" borderId="0" xfId="0" applyFont="1" applyFill="1" applyAlignment="1">
      <alignment horizontal="justify" vertical="center"/>
    </xf>
    <xf numFmtId="0" fontId="9" fillId="0" borderId="1" xfId="0" applyFont="1" applyBorder="1" applyAlignment="1">
      <alignment horizontal="right"/>
    </xf>
    <xf numFmtId="4" fontId="1" fillId="0" borderId="0" xfId="0" applyNumberFormat="1" applyFont="1"/>
    <xf numFmtId="2" fontId="0" fillId="0" borderId="1" xfId="0" applyNumberFormat="1" applyBorder="1"/>
    <xf numFmtId="166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4" fontId="0" fillId="0" borderId="7" xfId="0" applyNumberFormat="1" applyBorder="1" applyAlignment="1">
      <alignment horizontal="right"/>
    </xf>
    <xf numFmtId="0" fontId="0" fillId="0" borderId="1" xfId="0" applyBorder="1" applyAlignment="1">
      <alignment vertical="center" wrapText="1"/>
    </xf>
    <xf numFmtId="0" fontId="14" fillId="0" borderId="1" xfId="0" applyFont="1" applyBorder="1" applyAlignment="1">
      <alignment horizontal="justify" vertical="center"/>
    </xf>
    <xf numFmtId="0" fontId="13" fillId="0" borderId="0" xfId="0" applyFont="1"/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3" fontId="0" fillId="0" borderId="0" xfId="0" applyNumberFormat="1"/>
    <xf numFmtId="2" fontId="1" fillId="0" borderId="0" xfId="0" applyNumberFormat="1" applyFont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 vertical="center"/>
    </xf>
    <xf numFmtId="2" fontId="1" fillId="0" borderId="2" xfId="0" applyNumberFormat="1" applyFont="1" applyBorder="1" applyAlignment="1">
      <alignment horizontal="center"/>
    </xf>
    <xf numFmtId="2" fontId="0" fillId="0" borderId="34" xfId="0" applyNumberFormat="1" applyBorder="1"/>
    <xf numFmtId="4" fontId="0" fillId="0" borderId="34" xfId="0" applyNumberFormat="1" applyBorder="1"/>
    <xf numFmtId="2" fontId="1" fillId="0" borderId="35" xfId="0" applyNumberFormat="1" applyFont="1" applyBorder="1" applyAlignment="1">
      <alignment horizontal="center"/>
    </xf>
    <xf numFmtId="4" fontId="1" fillId="0" borderId="7" xfId="0" applyNumberFormat="1" applyFont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6" xfId="0" applyBorder="1"/>
    <xf numFmtId="4" fontId="0" fillId="0" borderId="36" xfId="0" applyNumberFormat="1" applyBorder="1"/>
    <xf numFmtId="0" fontId="0" fillId="0" borderId="31" xfId="0" applyBorder="1" applyAlignment="1">
      <alignment horizontal="center"/>
    </xf>
    <xf numFmtId="0" fontId="0" fillId="0" borderId="31" xfId="0" applyBorder="1" applyAlignment="1">
      <alignment wrapText="1"/>
    </xf>
    <xf numFmtId="0" fontId="0" fillId="0" borderId="31" xfId="0" applyBorder="1"/>
    <xf numFmtId="164" fontId="8" fillId="0" borderId="1" xfId="0" applyNumberFormat="1" applyFont="1" applyBorder="1"/>
    <xf numFmtId="164" fontId="8" fillId="0" borderId="27" xfId="0" applyNumberFormat="1" applyFont="1" applyBorder="1"/>
    <xf numFmtId="0" fontId="15" fillId="0" borderId="0" xfId="0" applyFont="1" applyAlignment="1">
      <alignment horizontal="center" vertical="center"/>
    </xf>
    <xf numFmtId="0" fontId="14" fillId="5" borderId="1" xfId="0" applyFont="1" applyFill="1" applyBorder="1" applyAlignment="1">
      <alignment horizontal="justify" vertical="center"/>
    </xf>
    <xf numFmtId="4" fontId="0" fillId="0" borderId="9" xfId="0" applyNumberFormat="1" applyBorder="1" applyAlignment="1">
      <alignment horizontal="right"/>
    </xf>
    <xf numFmtId="4" fontId="1" fillId="0" borderId="2" xfId="0" applyNumberFormat="1" applyFont="1" applyBorder="1" applyAlignment="1">
      <alignment horizontal="center"/>
    </xf>
    <xf numFmtId="0" fontId="16" fillId="0" borderId="0" xfId="0" applyFont="1"/>
    <xf numFmtId="0" fontId="0" fillId="0" borderId="1" xfId="0" applyBorder="1" applyAlignment="1">
      <alignment horizontal="center" wrapText="1"/>
    </xf>
    <xf numFmtId="0" fontId="0" fillId="0" borderId="9" xfId="0" applyBorder="1"/>
    <xf numFmtId="4" fontId="0" fillId="0" borderId="2" xfId="0" applyNumberFormat="1" applyBorder="1" applyAlignment="1">
      <alignment horizontal="right"/>
    </xf>
    <xf numFmtId="0" fontId="0" fillId="0" borderId="2" xfId="0" applyBorder="1"/>
    <xf numFmtId="2" fontId="0" fillId="0" borderId="32" xfId="0" applyNumberFormat="1" applyBorder="1"/>
    <xf numFmtId="4" fontId="1" fillId="0" borderId="32" xfId="0" applyNumberFormat="1" applyFont="1" applyBorder="1"/>
    <xf numFmtId="0" fontId="1" fillId="0" borderId="9" xfId="0" applyFont="1" applyBorder="1" applyAlignment="1">
      <alignment horizontal="center"/>
    </xf>
    <xf numFmtId="4" fontId="0" fillId="0" borderId="2" xfId="0" applyNumberFormat="1" applyBorder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1" fillId="0" borderId="0" xfId="0" applyFont="1" applyAlignment="1">
      <alignment horizontal="center"/>
    </xf>
    <xf numFmtId="3" fontId="0" fillId="0" borderId="25" xfId="0" applyNumberFormat="1" applyBorder="1" applyAlignment="1">
      <alignment horizontal="center"/>
    </xf>
    <xf numFmtId="3" fontId="0" fillId="0" borderId="26" xfId="0" applyNumberForma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7" fillId="0" borderId="1" xfId="0" applyFont="1" applyBorder="1"/>
    <xf numFmtId="0" fontId="6" fillId="0" borderId="37" xfId="0" applyFont="1" applyBorder="1"/>
    <xf numFmtId="0" fontId="6" fillId="0" borderId="29" xfId="0" applyFont="1" applyBorder="1"/>
    <xf numFmtId="0" fontId="8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4" fontId="0" fillId="0" borderId="38" xfId="0" applyNumberFormat="1" applyBorder="1"/>
    <xf numFmtId="0" fontId="3" fillId="0" borderId="1" xfId="0" applyFont="1" applyBorder="1"/>
    <xf numFmtId="2" fontId="2" fillId="0" borderId="19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523875</xdr:colOff>
      <xdr:row>1</xdr:row>
      <xdr:rowOff>19050</xdr:rowOff>
    </xdr:from>
    <xdr:to>
      <xdr:col>23</xdr:col>
      <xdr:colOff>809625</xdr:colOff>
      <xdr:row>4</xdr:row>
      <xdr:rowOff>38100</xdr:rowOff>
    </xdr:to>
    <xdr:sp macro="" textlink="">
      <xdr:nvSpPr>
        <xdr:cNvPr id="2" name="Flecha: hacia arriba 1">
          <a:extLst>
            <a:ext uri="{FF2B5EF4-FFF2-40B4-BE49-F238E27FC236}">
              <a16:creationId xmlns:a16="http://schemas.microsoft.com/office/drawing/2014/main" id="{D9C5EE82-9B55-4D20-AA9B-7C30417B01F8}"/>
            </a:ext>
          </a:extLst>
        </xdr:cNvPr>
        <xdr:cNvSpPr/>
      </xdr:nvSpPr>
      <xdr:spPr>
        <a:xfrm>
          <a:off x="17430750" y="333375"/>
          <a:ext cx="285750" cy="96202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24</xdr:col>
      <xdr:colOff>228600</xdr:colOff>
      <xdr:row>1</xdr:row>
      <xdr:rowOff>0</xdr:rowOff>
    </xdr:from>
    <xdr:to>
      <xdr:col>24</xdr:col>
      <xdr:colOff>514350</xdr:colOff>
      <xdr:row>4</xdr:row>
      <xdr:rowOff>19050</xdr:rowOff>
    </xdr:to>
    <xdr:sp macro="" textlink="">
      <xdr:nvSpPr>
        <xdr:cNvPr id="3" name="Flecha: hacia arriba 2">
          <a:extLst>
            <a:ext uri="{FF2B5EF4-FFF2-40B4-BE49-F238E27FC236}">
              <a16:creationId xmlns:a16="http://schemas.microsoft.com/office/drawing/2014/main" id="{106A2C08-C805-44DE-A04C-10E6C756E00D}"/>
            </a:ext>
          </a:extLst>
        </xdr:cNvPr>
        <xdr:cNvSpPr/>
      </xdr:nvSpPr>
      <xdr:spPr>
        <a:xfrm rot="10800000">
          <a:off x="18402300" y="314325"/>
          <a:ext cx="285750" cy="962025"/>
        </a:xfrm>
        <a:prstGeom prst="upArrow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>
            <a:solidFill>
              <a:srgbClr val="C00000"/>
            </a:solidFill>
          </a:endParaRPr>
        </a:p>
      </xdr:txBody>
    </xdr:sp>
    <xdr:clientData/>
  </xdr:twoCellAnchor>
  <xdr:twoCellAnchor>
    <xdr:from>
      <xdr:col>24</xdr:col>
      <xdr:colOff>447675</xdr:colOff>
      <xdr:row>6</xdr:row>
      <xdr:rowOff>47625</xdr:rowOff>
    </xdr:from>
    <xdr:to>
      <xdr:col>24</xdr:col>
      <xdr:colOff>733425</xdr:colOff>
      <xdr:row>9</xdr:row>
      <xdr:rowOff>9525</xdr:rowOff>
    </xdr:to>
    <xdr:sp macro="" textlink="">
      <xdr:nvSpPr>
        <xdr:cNvPr id="4" name="Flecha: hacia arriba 3">
          <a:extLst>
            <a:ext uri="{FF2B5EF4-FFF2-40B4-BE49-F238E27FC236}">
              <a16:creationId xmlns:a16="http://schemas.microsoft.com/office/drawing/2014/main" id="{83B717E0-5F90-45B9-8956-3AD1F3B91150}"/>
            </a:ext>
          </a:extLst>
        </xdr:cNvPr>
        <xdr:cNvSpPr/>
      </xdr:nvSpPr>
      <xdr:spPr>
        <a:xfrm>
          <a:off x="17773650" y="1933575"/>
          <a:ext cx="285750" cy="9048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23</xdr:col>
      <xdr:colOff>466725</xdr:colOff>
      <xdr:row>6</xdr:row>
      <xdr:rowOff>0</xdr:rowOff>
    </xdr:from>
    <xdr:to>
      <xdr:col>23</xdr:col>
      <xdr:colOff>723900</xdr:colOff>
      <xdr:row>8</xdr:row>
      <xdr:rowOff>304800</xdr:rowOff>
    </xdr:to>
    <xdr:sp macro="" textlink="">
      <xdr:nvSpPr>
        <xdr:cNvPr id="5" name="Flecha: hacia arriba 4">
          <a:extLst>
            <a:ext uri="{FF2B5EF4-FFF2-40B4-BE49-F238E27FC236}">
              <a16:creationId xmlns:a16="http://schemas.microsoft.com/office/drawing/2014/main" id="{B1FA9179-3F1C-4438-8186-8E0710173E08}"/>
            </a:ext>
          </a:extLst>
        </xdr:cNvPr>
        <xdr:cNvSpPr/>
      </xdr:nvSpPr>
      <xdr:spPr>
        <a:xfrm rot="10800000">
          <a:off x="16525875" y="1885950"/>
          <a:ext cx="257175" cy="933450"/>
        </a:xfrm>
        <a:prstGeom prst="upArrow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>
            <a:solidFill>
              <a:srgbClr val="C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523875</xdr:colOff>
      <xdr:row>1</xdr:row>
      <xdr:rowOff>19050</xdr:rowOff>
    </xdr:from>
    <xdr:to>
      <xdr:col>23</xdr:col>
      <xdr:colOff>809625</xdr:colOff>
      <xdr:row>4</xdr:row>
      <xdr:rowOff>38100</xdr:rowOff>
    </xdr:to>
    <xdr:sp macro="" textlink="">
      <xdr:nvSpPr>
        <xdr:cNvPr id="6" name="Flecha: hacia arriba 5">
          <a:extLst>
            <a:ext uri="{FF2B5EF4-FFF2-40B4-BE49-F238E27FC236}">
              <a16:creationId xmlns:a16="http://schemas.microsoft.com/office/drawing/2014/main" id="{0039A206-5B60-43ED-A3D4-A7BD46F639E5}"/>
            </a:ext>
          </a:extLst>
        </xdr:cNvPr>
        <xdr:cNvSpPr/>
      </xdr:nvSpPr>
      <xdr:spPr>
        <a:xfrm>
          <a:off x="21040725" y="330200"/>
          <a:ext cx="285750" cy="95250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24</xdr:col>
      <xdr:colOff>228600</xdr:colOff>
      <xdr:row>1</xdr:row>
      <xdr:rowOff>0</xdr:rowOff>
    </xdr:from>
    <xdr:to>
      <xdr:col>24</xdr:col>
      <xdr:colOff>514350</xdr:colOff>
      <xdr:row>4</xdr:row>
      <xdr:rowOff>19050</xdr:rowOff>
    </xdr:to>
    <xdr:sp macro="" textlink="">
      <xdr:nvSpPr>
        <xdr:cNvPr id="7" name="Flecha: hacia arriba 6">
          <a:extLst>
            <a:ext uri="{FF2B5EF4-FFF2-40B4-BE49-F238E27FC236}">
              <a16:creationId xmlns:a16="http://schemas.microsoft.com/office/drawing/2014/main" id="{18763786-B0DE-45F5-81EC-B68D68DF82E2}"/>
            </a:ext>
          </a:extLst>
        </xdr:cNvPr>
        <xdr:cNvSpPr/>
      </xdr:nvSpPr>
      <xdr:spPr>
        <a:xfrm rot="10800000">
          <a:off x="22009100" y="311150"/>
          <a:ext cx="285750" cy="952500"/>
        </a:xfrm>
        <a:prstGeom prst="upArrow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>
            <a:solidFill>
              <a:srgbClr val="C00000"/>
            </a:solidFill>
          </a:endParaRPr>
        </a:p>
      </xdr:txBody>
    </xdr:sp>
    <xdr:clientData/>
  </xdr:twoCellAnchor>
  <xdr:twoCellAnchor>
    <xdr:from>
      <xdr:col>24</xdr:col>
      <xdr:colOff>447675</xdr:colOff>
      <xdr:row>6</xdr:row>
      <xdr:rowOff>47625</xdr:rowOff>
    </xdr:from>
    <xdr:to>
      <xdr:col>24</xdr:col>
      <xdr:colOff>733425</xdr:colOff>
      <xdr:row>9</xdr:row>
      <xdr:rowOff>9525</xdr:rowOff>
    </xdr:to>
    <xdr:sp macro="" textlink="">
      <xdr:nvSpPr>
        <xdr:cNvPr id="8" name="Flecha: hacia arriba 7">
          <a:extLst>
            <a:ext uri="{FF2B5EF4-FFF2-40B4-BE49-F238E27FC236}">
              <a16:creationId xmlns:a16="http://schemas.microsoft.com/office/drawing/2014/main" id="{C474AA7F-D697-4679-9B18-73740CC21E3F}"/>
            </a:ext>
          </a:extLst>
        </xdr:cNvPr>
        <xdr:cNvSpPr/>
      </xdr:nvSpPr>
      <xdr:spPr>
        <a:xfrm>
          <a:off x="22228175" y="1914525"/>
          <a:ext cx="285750" cy="95250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23</xdr:col>
      <xdr:colOff>466725</xdr:colOff>
      <xdr:row>6</xdr:row>
      <xdr:rowOff>0</xdr:rowOff>
    </xdr:from>
    <xdr:to>
      <xdr:col>23</xdr:col>
      <xdr:colOff>723900</xdr:colOff>
      <xdr:row>8</xdr:row>
      <xdr:rowOff>304800</xdr:rowOff>
    </xdr:to>
    <xdr:sp macro="" textlink="">
      <xdr:nvSpPr>
        <xdr:cNvPr id="9" name="Flecha: hacia arriba 8">
          <a:extLst>
            <a:ext uri="{FF2B5EF4-FFF2-40B4-BE49-F238E27FC236}">
              <a16:creationId xmlns:a16="http://schemas.microsoft.com/office/drawing/2014/main" id="{4F6C7936-8515-4DDA-93F8-702F3587BD00}"/>
            </a:ext>
          </a:extLst>
        </xdr:cNvPr>
        <xdr:cNvSpPr/>
      </xdr:nvSpPr>
      <xdr:spPr>
        <a:xfrm rot="10800000">
          <a:off x="20983575" y="1866900"/>
          <a:ext cx="257175" cy="927100"/>
        </a:xfrm>
        <a:prstGeom prst="upArrow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>
            <a:solidFill>
              <a:srgbClr val="C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128A-1145-43F3-954D-8C5880FC427D}">
  <dimension ref="A1:J13"/>
  <sheetViews>
    <sheetView workbookViewId="0">
      <selection activeCell="B5" sqref="B5"/>
    </sheetView>
  </sheetViews>
  <sheetFormatPr baseColWidth="10" defaultColWidth="10.875" defaultRowHeight="15.75"/>
  <cols>
    <col min="2" max="2" width="81.125" customWidth="1"/>
    <col min="5" max="5" width="14" customWidth="1"/>
  </cols>
  <sheetData>
    <row r="1" spans="1:10" ht="21" customHeight="1">
      <c r="A1" s="128" t="s">
        <v>37</v>
      </c>
      <c r="B1" s="128"/>
    </row>
    <row r="2" spans="1:10" ht="18.75">
      <c r="A2" s="128" t="s">
        <v>38</v>
      </c>
      <c r="B2" s="128"/>
    </row>
    <row r="3" spans="1:10" ht="90.75" customHeight="1">
      <c r="A3" s="127" t="s">
        <v>27</v>
      </c>
      <c r="B3" s="127"/>
      <c r="F3" s="80"/>
      <c r="G3" s="80"/>
      <c r="H3" s="80"/>
      <c r="I3" s="80"/>
      <c r="J3" s="80"/>
    </row>
    <row r="4" spans="1:10" ht="37.5">
      <c r="A4" s="67">
        <v>45443</v>
      </c>
      <c r="B4" s="68" t="s">
        <v>28</v>
      </c>
      <c r="F4" s="129"/>
      <c r="G4" s="129"/>
      <c r="H4" s="129"/>
      <c r="I4" s="129"/>
      <c r="J4" s="129"/>
    </row>
    <row r="5" spans="1:10" ht="37.5">
      <c r="A5" s="67">
        <v>45418</v>
      </c>
      <c r="B5" s="68" t="s">
        <v>29</v>
      </c>
      <c r="F5" s="126"/>
      <c r="G5" s="126"/>
      <c r="H5" s="126"/>
      <c r="I5" s="126"/>
      <c r="J5" s="126"/>
    </row>
    <row r="6" spans="1:10" ht="18.75">
      <c r="A6" s="67">
        <v>45413</v>
      </c>
      <c r="B6" s="68" t="s">
        <v>30</v>
      </c>
    </row>
    <row r="7" spans="1:10" ht="37.5">
      <c r="A7" s="67">
        <v>45422</v>
      </c>
      <c r="B7" s="68" t="s">
        <v>31</v>
      </c>
    </row>
    <row r="8" spans="1:10" ht="37.5">
      <c r="A8" s="67">
        <v>45415</v>
      </c>
      <c r="B8" s="68" t="s">
        <v>32</v>
      </c>
    </row>
    <row r="9" spans="1:10" ht="37.5">
      <c r="A9" s="67">
        <v>45796</v>
      </c>
      <c r="B9" s="68" t="s">
        <v>33</v>
      </c>
    </row>
    <row r="10" spans="1:10" ht="37.5">
      <c r="A10" s="67">
        <v>45416</v>
      </c>
      <c r="B10" s="68" t="s">
        <v>34</v>
      </c>
      <c r="D10" s="126"/>
      <c r="E10" s="126"/>
      <c r="F10" s="126"/>
      <c r="G10" s="126"/>
      <c r="H10" s="126"/>
    </row>
    <row r="11" spans="1:10" ht="37.5">
      <c r="A11" s="67">
        <v>45429</v>
      </c>
      <c r="B11" s="68" t="s">
        <v>35</v>
      </c>
    </row>
    <row r="12" spans="1:10" ht="37.5">
      <c r="A12" s="67">
        <v>45800</v>
      </c>
      <c r="B12" s="68" t="s">
        <v>46</v>
      </c>
    </row>
    <row r="13" spans="1:10" ht="37.5">
      <c r="A13" s="67">
        <v>45417</v>
      </c>
      <c r="B13" s="68" t="s">
        <v>36</v>
      </c>
    </row>
  </sheetData>
  <mergeCells count="7">
    <mergeCell ref="D10:E10"/>
    <mergeCell ref="F10:H10"/>
    <mergeCell ref="A3:B3"/>
    <mergeCell ref="A1:B1"/>
    <mergeCell ref="A2:B2"/>
    <mergeCell ref="F4:J4"/>
    <mergeCell ref="F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"/>
  <sheetViews>
    <sheetView topLeftCell="C10" workbookViewId="0">
      <selection activeCell="O3" sqref="O3"/>
    </sheetView>
  </sheetViews>
  <sheetFormatPr baseColWidth="10" defaultColWidth="10.875" defaultRowHeight="24.95" customHeight="1"/>
  <cols>
    <col min="1" max="1" width="13.125" style="24" customWidth="1"/>
    <col min="2" max="2" width="5" style="24" customWidth="1"/>
    <col min="3" max="3" width="37.5" customWidth="1"/>
    <col min="4" max="4" width="6.5" customWidth="1"/>
    <col min="5" max="5" width="17.375" customWidth="1"/>
    <col min="6" max="6" width="18.625" customWidth="1"/>
    <col min="7" max="7" width="10.875" style="27"/>
    <col min="8" max="8" width="14.875" customWidth="1"/>
    <col min="9" max="9" width="18.125" customWidth="1"/>
    <col min="10" max="10" width="5.625" customWidth="1"/>
    <col min="11" max="11" width="4.5" customWidth="1"/>
    <col min="12" max="12" width="5.5" customWidth="1"/>
    <col min="13" max="13" width="14.625" customWidth="1"/>
    <col min="14" max="14" width="21.5" customWidth="1"/>
    <col min="15" max="15" width="10.25" customWidth="1"/>
    <col min="16" max="16" width="6" customWidth="1"/>
    <col min="17" max="17" width="9.125" customWidth="1"/>
    <col min="18" max="18" width="14.5" customWidth="1"/>
    <col min="19" max="19" width="10.875" customWidth="1"/>
    <col min="20" max="21" width="6" customWidth="1"/>
    <col min="22" max="22" width="5.875" customWidth="1"/>
    <col min="24" max="24" width="16.5" customWidth="1"/>
    <col min="25" max="25" width="14.125" customWidth="1"/>
  </cols>
  <sheetData>
    <row r="1" spans="1:25" ht="24.95" customHeight="1">
      <c r="A1" s="114" t="s">
        <v>0</v>
      </c>
      <c r="B1" s="115"/>
      <c r="C1" s="115"/>
      <c r="D1" s="115"/>
      <c r="E1" s="116"/>
      <c r="F1" s="69" t="s">
        <v>39</v>
      </c>
      <c r="H1" s="112" t="s">
        <v>72</v>
      </c>
      <c r="I1" s="112"/>
      <c r="J1" s="4">
        <v>100</v>
      </c>
      <c r="K1" s="4"/>
      <c r="M1" s="112" t="s">
        <v>1</v>
      </c>
      <c r="N1" s="112"/>
      <c r="O1" s="99"/>
      <c r="P1" s="4"/>
      <c r="Q1" s="112"/>
      <c r="R1" s="112"/>
      <c r="S1" s="47"/>
      <c r="T1" s="4"/>
      <c r="U1" s="4"/>
      <c r="X1" s="4" t="s">
        <v>2</v>
      </c>
      <c r="Y1" s="34" t="s">
        <v>3</v>
      </c>
    </row>
    <row r="2" spans="1:25" ht="24.95" customHeight="1">
      <c r="A2" s="117"/>
      <c r="B2" s="118"/>
      <c r="C2" s="118"/>
      <c r="D2" s="118"/>
      <c r="E2" s="118"/>
      <c r="F2" s="118"/>
      <c r="H2" s="48" t="s">
        <v>4</v>
      </c>
      <c r="I2" s="48" t="s">
        <v>5</v>
      </c>
      <c r="J2" s="4"/>
      <c r="K2" s="4"/>
      <c r="L2" s="24"/>
      <c r="M2" s="48" t="s">
        <v>4</v>
      </c>
      <c r="N2" s="48" t="s">
        <v>5</v>
      </c>
      <c r="O2" s="4"/>
      <c r="P2" s="4"/>
      <c r="Q2" s="48" t="s">
        <v>4</v>
      </c>
      <c r="R2" s="48" t="s">
        <v>5</v>
      </c>
      <c r="S2" s="4"/>
      <c r="T2" s="4"/>
      <c r="U2" s="4"/>
      <c r="W2" s="34" t="s">
        <v>6</v>
      </c>
    </row>
    <row r="3" spans="1:25" ht="24.95" customHeight="1">
      <c r="A3" s="119"/>
      <c r="B3" s="113"/>
      <c r="C3" s="113"/>
      <c r="D3" s="113"/>
      <c r="E3" s="113"/>
      <c r="F3" s="113"/>
      <c r="G3" s="27">
        <v>1</v>
      </c>
      <c r="H3" s="49">
        <v>150000</v>
      </c>
      <c r="I3" s="23"/>
      <c r="J3" s="23"/>
      <c r="K3" s="23"/>
      <c r="L3" s="24"/>
      <c r="M3" s="49"/>
      <c r="N3" s="57">
        <v>150000</v>
      </c>
      <c r="O3" s="23">
        <v>1</v>
      </c>
      <c r="P3" s="27"/>
      <c r="Q3" s="50"/>
      <c r="R3" s="29"/>
      <c r="S3" s="27"/>
      <c r="T3" s="27"/>
      <c r="U3" s="27"/>
      <c r="W3" s="34" t="s">
        <v>7</v>
      </c>
    </row>
    <row r="4" spans="1:25" ht="24.95" customHeight="1">
      <c r="A4" s="120"/>
      <c r="B4" s="121"/>
      <c r="C4" s="121"/>
      <c r="D4" s="121"/>
      <c r="E4" s="121"/>
      <c r="F4" s="121"/>
      <c r="H4" s="51"/>
      <c r="I4" s="57">
        <v>100000</v>
      </c>
      <c r="J4">
        <v>3</v>
      </c>
      <c r="K4" s="23"/>
      <c r="M4" s="49"/>
      <c r="Q4" s="51"/>
      <c r="V4" s="28"/>
      <c r="W4" s="34" t="s">
        <v>8</v>
      </c>
    </row>
    <row r="5" spans="1:25" s="4" customFormat="1" ht="24.95" customHeight="1">
      <c r="A5" s="122" t="s">
        <v>9</v>
      </c>
      <c r="B5" s="123"/>
      <c r="C5" s="3" t="s">
        <v>10</v>
      </c>
      <c r="D5" s="3" t="s">
        <v>11</v>
      </c>
      <c r="E5" s="3" t="s">
        <v>4</v>
      </c>
      <c r="F5" s="3" t="s">
        <v>5</v>
      </c>
      <c r="G5" s="33"/>
      <c r="H5" s="45"/>
      <c r="I5" s="30"/>
      <c r="J5" s="30"/>
      <c r="K5" s="30"/>
      <c r="M5" s="75"/>
      <c r="N5" s="30"/>
      <c r="P5" s="30"/>
      <c r="Q5" s="45"/>
      <c r="R5" s="30"/>
      <c r="S5" s="30"/>
      <c r="T5" s="30"/>
      <c r="U5" s="30"/>
      <c r="V5" s="33"/>
    </row>
    <row r="6" spans="1:25" ht="24.95" customHeight="1" thickBot="1">
      <c r="A6" s="124">
        <v>2025</v>
      </c>
      <c r="B6" s="125"/>
      <c r="C6" s="66"/>
      <c r="D6" s="66"/>
      <c r="E6" s="66"/>
      <c r="F6" s="66"/>
      <c r="H6" s="87">
        <f>H3-I4</f>
        <v>50000</v>
      </c>
      <c r="I6" s="57"/>
      <c r="J6" s="57"/>
      <c r="K6" s="57"/>
      <c r="M6" s="51"/>
      <c r="N6" s="30"/>
      <c r="Q6" s="51"/>
      <c r="V6" s="27"/>
      <c r="X6" s="34" t="s">
        <v>12</v>
      </c>
      <c r="Y6" s="4" t="s">
        <v>13</v>
      </c>
    </row>
    <row r="7" spans="1:25" ht="24.95" customHeight="1" thickTop="1" thickBot="1">
      <c r="A7" s="3" t="s">
        <v>73</v>
      </c>
      <c r="B7" s="3">
        <v>1</v>
      </c>
      <c r="C7" s="5" t="s">
        <v>74</v>
      </c>
      <c r="D7" s="5">
        <v>100</v>
      </c>
      <c r="E7" s="35">
        <v>150000</v>
      </c>
      <c r="F7" s="5"/>
      <c r="H7" s="23"/>
      <c r="I7" s="23"/>
      <c r="J7" s="23"/>
      <c r="K7" s="23"/>
      <c r="N7" s="53">
        <v>150000</v>
      </c>
      <c r="V7" s="27"/>
      <c r="W7" s="34" t="s">
        <v>14</v>
      </c>
    </row>
    <row r="8" spans="1:25" ht="24.95" customHeight="1" thickTop="1">
      <c r="A8" s="25"/>
      <c r="B8" s="25"/>
      <c r="C8" s="5" t="s">
        <v>75</v>
      </c>
      <c r="D8" s="5">
        <v>101</v>
      </c>
      <c r="E8" s="5"/>
      <c r="F8" s="35">
        <v>150000</v>
      </c>
      <c r="H8" s="70"/>
      <c r="V8" s="27"/>
      <c r="W8" s="34" t="s">
        <v>1</v>
      </c>
    </row>
    <row r="9" spans="1:25" ht="29.25" customHeight="1">
      <c r="A9" s="3"/>
      <c r="B9" s="3"/>
      <c r="C9" s="26" t="s">
        <v>76</v>
      </c>
      <c r="D9" s="5"/>
      <c r="E9" s="5"/>
      <c r="F9" s="5"/>
      <c r="W9" s="34" t="s">
        <v>15</v>
      </c>
    </row>
    <row r="10" spans="1:25" ht="24.95" customHeight="1">
      <c r="A10" s="3"/>
      <c r="B10" s="3">
        <v>3</v>
      </c>
      <c r="C10" s="5" t="s">
        <v>77</v>
      </c>
      <c r="D10" s="5">
        <v>110</v>
      </c>
      <c r="E10" s="72">
        <v>100000</v>
      </c>
      <c r="F10" s="5"/>
      <c r="W10" s="34"/>
    </row>
    <row r="11" spans="1:25" ht="24.95" customHeight="1">
      <c r="A11" s="25"/>
      <c r="B11" s="25"/>
      <c r="C11" s="5" t="s">
        <v>74</v>
      </c>
      <c r="D11" s="5">
        <v>100</v>
      </c>
      <c r="E11" s="5"/>
      <c r="F11" s="35">
        <v>100000</v>
      </c>
      <c r="G11" s="36"/>
      <c r="H11" s="112" t="s">
        <v>98</v>
      </c>
      <c r="I11" s="112"/>
      <c r="J11" s="4"/>
      <c r="K11" s="4"/>
      <c r="M11" s="112" t="s">
        <v>79</v>
      </c>
      <c r="N11" s="112"/>
      <c r="O11" s="84">
        <v>130</v>
      </c>
      <c r="P11" s="4"/>
      <c r="Q11" s="112" t="s">
        <v>80</v>
      </c>
      <c r="R11" s="112"/>
      <c r="S11" s="4">
        <v>200</v>
      </c>
      <c r="T11" s="4"/>
      <c r="U11" s="4"/>
      <c r="W11" s="113"/>
      <c r="X11" s="113"/>
      <c r="Y11" s="47"/>
    </row>
    <row r="12" spans="1:25" ht="26.25" customHeight="1">
      <c r="A12" s="25"/>
      <c r="B12" s="25"/>
      <c r="C12" s="26" t="s">
        <v>78</v>
      </c>
      <c r="D12" s="5"/>
      <c r="E12" s="5"/>
      <c r="F12" s="5"/>
      <c r="H12" s="48" t="s">
        <v>4</v>
      </c>
      <c r="I12" s="48" t="s">
        <v>5</v>
      </c>
      <c r="J12" s="4"/>
      <c r="K12" s="4"/>
      <c r="L12" s="24"/>
      <c r="M12" s="48" t="s">
        <v>4</v>
      </c>
      <c r="N12" s="48" t="s">
        <v>5</v>
      </c>
      <c r="O12" s="24"/>
      <c r="P12" s="24"/>
      <c r="Q12" s="48" t="s">
        <v>4</v>
      </c>
      <c r="R12" s="48" t="s">
        <v>5</v>
      </c>
      <c r="S12" s="24"/>
      <c r="T12" s="24"/>
      <c r="U12" s="24"/>
      <c r="W12" s="4"/>
      <c r="X12" s="4"/>
    </row>
    <row r="13" spans="1:25" ht="34.5" customHeight="1">
      <c r="A13" s="25"/>
      <c r="B13" s="73">
        <v>4</v>
      </c>
      <c r="C13" s="26" t="s">
        <v>79</v>
      </c>
      <c r="D13" s="5">
        <v>130</v>
      </c>
      <c r="E13" s="71">
        <v>1200</v>
      </c>
      <c r="F13" s="5"/>
      <c r="G13" s="27">
        <v>3</v>
      </c>
      <c r="H13" s="54">
        <v>100000</v>
      </c>
      <c r="I13" s="23">
        <v>40000</v>
      </c>
      <c r="J13" s="81">
        <v>5</v>
      </c>
      <c r="K13" s="23"/>
      <c r="L13" s="24">
        <v>4</v>
      </c>
      <c r="M13" s="54">
        <v>1200</v>
      </c>
      <c r="O13" s="24"/>
      <c r="P13" s="24"/>
      <c r="Q13" s="51"/>
      <c r="R13" s="23">
        <v>1200</v>
      </c>
      <c r="S13" s="24">
        <v>4</v>
      </c>
      <c r="T13" s="24"/>
      <c r="U13" s="24"/>
      <c r="V13" s="24"/>
      <c r="W13" s="57"/>
      <c r="X13" s="81"/>
    </row>
    <row r="14" spans="1:25" ht="15.75">
      <c r="A14" s="25"/>
      <c r="B14" s="25"/>
      <c r="C14" s="26" t="s">
        <v>81</v>
      </c>
      <c r="D14" s="5"/>
      <c r="E14" s="5"/>
      <c r="F14" s="71">
        <v>1200</v>
      </c>
      <c r="G14" s="27">
        <v>6</v>
      </c>
      <c r="H14" s="54">
        <v>3000</v>
      </c>
      <c r="I14" s="29">
        <v>200</v>
      </c>
      <c r="J14" s="81">
        <v>10</v>
      </c>
      <c r="K14" s="23"/>
      <c r="M14" s="51"/>
      <c r="P14">
        <v>23</v>
      </c>
      <c r="Q14" s="54">
        <v>400</v>
      </c>
      <c r="R14" s="29"/>
      <c r="V14" s="27"/>
    </row>
    <row r="15" spans="1:25" ht="34.5" customHeight="1" thickBot="1">
      <c r="A15" s="25"/>
      <c r="B15" s="25"/>
      <c r="C15" s="26" t="s">
        <v>82</v>
      </c>
      <c r="D15" s="5"/>
      <c r="E15" s="5"/>
      <c r="F15" s="5"/>
      <c r="G15" s="27">
        <v>17</v>
      </c>
      <c r="H15" s="55">
        <v>1600</v>
      </c>
      <c r="I15" s="85">
        <v>400</v>
      </c>
      <c r="J15" s="4">
        <v>23</v>
      </c>
      <c r="K15" s="4"/>
      <c r="L15" s="4"/>
      <c r="M15" s="56">
        <v>1200</v>
      </c>
      <c r="N15" s="4"/>
      <c r="O15" s="4"/>
      <c r="P15" s="4"/>
      <c r="Q15" s="55"/>
      <c r="R15" s="46"/>
      <c r="S15" s="4"/>
      <c r="T15" s="4"/>
      <c r="U15" s="4"/>
      <c r="W15" s="82"/>
      <c r="X15" s="4"/>
    </row>
    <row r="16" spans="1:25" ht="40.5" customHeight="1" thickTop="1" thickBot="1">
      <c r="A16" s="25"/>
      <c r="B16" s="73">
        <v>5</v>
      </c>
      <c r="C16" s="74" t="s">
        <v>83</v>
      </c>
      <c r="D16" s="5">
        <v>120</v>
      </c>
      <c r="E16" s="35">
        <v>40000</v>
      </c>
      <c r="F16" s="5"/>
      <c r="H16" s="57"/>
      <c r="I16" s="23">
        <v>2200</v>
      </c>
      <c r="J16" s="81">
        <v>31</v>
      </c>
      <c r="K16" s="23"/>
      <c r="Q16" s="57"/>
      <c r="R16" s="87">
        <f>R13-Q14</f>
        <v>800</v>
      </c>
    </row>
    <row r="17" spans="1:23" ht="17.25" thickTop="1" thickBot="1">
      <c r="A17" s="25"/>
      <c r="B17" s="25"/>
      <c r="C17" s="26" t="s">
        <v>84</v>
      </c>
      <c r="D17" s="5">
        <v>110</v>
      </c>
      <c r="E17" s="5"/>
      <c r="F17" s="35">
        <v>40000</v>
      </c>
      <c r="H17" s="86">
        <f>(H13+H14+H15)-I13-I14-I15-I16</f>
        <v>61800</v>
      </c>
      <c r="I17" s="70"/>
      <c r="J17" s="70"/>
      <c r="K17" s="70"/>
      <c r="R17" s="70"/>
    </row>
    <row r="18" spans="1:23" ht="33" customHeight="1" thickTop="1">
      <c r="A18" s="25"/>
      <c r="B18" s="25"/>
      <c r="C18" s="26" t="s">
        <v>85</v>
      </c>
      <c r="D18" s="5"/>
      <c r="E18" s="5"/>
      <c r="F18" s="5"/>
    </row>
    <row r="19" spans="1:23" ht="28.5" customHeight="1">
      <c r="A19" s="25"/>
      <c r="B19" s="25">
        <v>6</v>
      </c>
      <c r="C19" s="26" t="s">
        <v>77</v>
      </c>
      <c r="D19" s="5">
        <v>110</v>
      </c>
      <c r="E19" s="35">
        <v>3000</v>
      </c>
      <c r="F19" s="5"/>
      <c r="G19" s="28"/>
      <c r="H19" s="112" t="s">
        <v>40</v>
      </c>
      <c r="I19" s="112"/>
      <c r="J19" s="4">
        <v>120</v>
      </c>
      <c r="K19" s="4"/>
      <c r="M19" s="112" t="s">
        <v>41</v>
      </c>
      <c r="N19" s="112"/>
      <c r="O19" s="90">
        <v>400</v>
      </c>
      <c r="Q19" s="112"/>
      <c r="R19" s="112"/>
    </row>
    <row r="20" spans="1:23" ht="35.25" customHeight="1">
      <c r="A20" s="25"/>
      <c r="B20" s="25"/>
      <c r="C20" s="74" t="s">
        <v>86</v>
      </c>
      <c r="D20" s="5">
        <v>400</v>
      </c>
      <c r="E20" s="31"/>
      <c r="F20" s="35">
        <v>3000</v>
      </c>
      <c r="H20" s="48" t="s">
        <v>4</v>
      </c>
      <c r="I20" s="48" t="s">
        <v>5</v>
      </c>
      <c r="J20" s="4"/>
      <c r="K20" s="4"/>
      <c r="M20" s="48" t="s">
        <v>4</v>
      </c>
      <c r="N20" s="48" t="s">
        <v>5</v>
      </c>
      <c r="Q20" s="48" t="s">
        <v>4</v>
      </c>
      <c r="R20" s="48" t="s">
        <v>5</v>
      </c>
      <c r="W20" s="23"/>
    </row>
    <row r="21" spans="1:23" ht="30.75" customHeight="1">
      <c r="A21" s="25"/>
      <c r="B21" s="25"/>
      <c r="C21" s="26" t="s">
        <v>87</v>
      </c>
      <c r="D21" s="5"/>
      <c r="E21" s="5"/>
      <c r="F21" s="5"/>
      <c r="G21" s="27">
        <v>5</v>
      </c>
      <c r="H21" s="23">
        <v>40000</v>
      </c>
      <c r="I21" s="23"/>
      <c r="J21" s="23"/>
      <c r="K21" s="23"/>
      <c r="M21" s="29"/>
      <c r="N21" s="23">
        <v>3000</v>
      </c>
      <c r="O21">
        <v>6</v>
      </c>
      <c r="Q21" s="51"/>
      <c r="R21" s="23"/>
    </row>
    <row r="22" spans="1:23" ht="24.95" customHeight="1">
      <c r="A22" s="25"/>
      <c r="B22" s="25">
        <v>10</v>
      </c>
      <c r="C22" s="5" t="s">
        <v>88</v>
      </c>
      <c r="D22" s="5">
        <v>101</v>
      </c>
      <c r="E22" s="35">
        <v>200</v>
      </c>
      <c r="F22" s="5"/>
      <c r="H22" s="29"/>
      <c r="M22" s="29"/>
      <c r="N22" s="23">
        <v>1600</v>
      </c>
      <c r="O22">
        <v>17</v>
      </c>
      <c r="Q22" s="54"/>
      <c r="R22" s="29"/>
    </row>
    <row r="23" spans="1:23" ht="30.75" customHeight="1" thickBot="1">
      <c r="A23" s="25"/>
      <c r="B23" s="25"/>
      <c r="C23" s="74" t="s">
        <v>77</v>
      </c>
      <c r="D23" s="5">
        <v>110</v>
      </c>
      <c r="E23" s="5"/>
      <c r="F23" s="35">
        <v>200</v>
      </c>
      <c r="H23" s="88">
        <v>40000</v>
      </c>
      <c r="I23" s="4"/>
      <c r="J23" s="4"/>
      <c r="K23" s="4"/>
      <c r="M23" s="45"/>
      <c r="N23" s="23">
        <v>2500</v>
      </c>
      <c r="O23">
        <v>19</v>
      </c>
      <c r="Q23" s="55"/>
      <c r="R23" s="46"/>
    </row>
    <row r="24" spans="1:23" ht="54" customHeight="1" thickTop="1" thickBot="1">
      <c r="A24" s="25"/>
      <c r="B24" s="25"/>
      <c r="C24" s="26" t="s">
        <v>89</v>
      </c>
      <c r="D24" s="5"/>
      <c r="E24" s="5"/>
      <c r="F24" s="35"/>
      <c r="H24" s="70"/>
      <c r="M24" s="70"/>
      <c r="N24" s="87">
        <f>SUM(N21:N23)</f>
        <v>7100</v>
      </c>
      <c r="Q24" s="57"/>
      <c r="R24" s="23"/>
    </row>
    <row r="25" spans="1:23" ht="17.25" thickTop="1" thickBot="1">
      <c r="A25" s="25"/>
      <c r="B25" s="25">
        <v>17</v>
      </c>
      <c r="C25" s="5" t="s">
        <v>77</v>
      </c>
      <c r="D25" s="5">
        <v>110</v>
      </c>
      <c r="E25" s="71">
        <v>1600</v>
      </c>
      <c r="F25" s="5"/>
      <c r="H25" s="70"/>
      <c r="M25" s="70"/>
      <c r="P25" s="4"/>
      <c r="R25" s="53"/>
      <c r="S25" s="4"/>
      <c r="T25" s="4"/>
      <c r="U25" s="4"/>
    </row>
    <row r="26" spans="1:23" ht="36" customHeight="1" thickTop="1">
      <c r="A26" s="25"/>
      <c r="B26" s="25"/>
      <c r="C26" s="26" t="s">
        <v>86</v>
      </c>
      <c r="D26" s="5">
        <v>400</v>
      </c>
      <c r="E26" s="5"/>
      <c r="F26" s="35">
        <v>1600</v>
      </c>
      <c r="H26" s="112" t="s">
        <v>42</v>
      </c>
      <c r="I26" s="112"/>
      <c r="J26" s="4">
        <v>101</v>
      </c>
      <c r="K26" s="4"/>
      <c r="M26" s="112" t="s">
        <v>43</v>
      </c>
      <c r="N26" s="112"/>
      <c r="O26" s="84">
        <v>112</v>
      </c>
      <c r="P26" s="24"/>
      <c r="Q26" s="24"/>
      <c r="R26" s="24"/>
      <c r="S26" s="24"/>
      <c r="T26" s="24"/>
      <c r="U26" s="24"/>
      <c r="W26" s="23"/>
    </row>
    <row r="27" spans="1:23" ht="34.5" customHeight="1">
      <c r="A27" s="25"/>
      <c r="B27" s="25"/>
      <c r="C27" s="26" t="s">
        <v>90</v>
      </c>
      <c r="D27" s="5"/>
      <c r="E27" s="5"/>
      <c r="F27" s="5"/>
      <c r="H27" s="48" t="s">
        <v>4</v>
      </c>
      <c r="I27" s="48" t="s">
        <v>5</v>
      </c>
      <c r="J27" s="4"/>
      <c r="K27" s="4"/>
      <c r="L27" s="24">
        <v>19</v>
      </c>
      <c r="M27" s="48" t="s">
        <v>4</v>
      </c>
      <c r="N27" s="48" t="s">
        <v>5</v>
      </c>
      <c r="O27" s="24"/>
      <c r="W27" s="23"/>
    </row>
    <row r="28" spans="1:23" ht="15.75">
      <c r="A28" s="25"/>
      <c r="B28" s="25">
        <v>19</v>
      </c>
      <c r="C28" s="5" t="s">
        <v>91</v>
      </c>
      <c r="D28" s="5">
        <v>112</v>
      </c>
      <c r="E28" s="35">
        <v>2500</v>
      </c>
      <c r="F28" s="5"/>
      <c r="G28" s="27">
        <v>10</v>
      </c>
      <c r="H28" s="29">
        <v>200</v>
      </c>
      <c r="I28" s="23">
        <v>25</v>
      </c>
      <c r="J28" s="81">
        <v>31</v>
      </c>
      <c r="K28" s="23"/>
      <c r="L28" s="24"/>
      <c r="M28" s="29">
        <v>2500</v>
      </c>
      <c r="N28" s="23"/>
      <c r="V28" s="83"/>
      <c r="W28" s="23"/>
    </row>
    <row r="29" spans="1:23" ht="24.95" customHeight="1">
      <c r="A29" s="25"/>
      <c r="B29" s="25"/>
      <c r="C29" s="74" t="s">
        <v>86</v>
      </c>
      <c r="D29" s="5">
        <v>400</v>
      </c>
      <c r="E29" s="5"/>
      <c r="F29" s="35">
        <v>2500</v>
      </c>
      <c r="H29" s="51"/>
      <c r="M29" s="51"/>
      <c r="P29" s="4"/>
      <c r="Q29" s="4"/>
      <c r="R29" s="4"/>
      <c r="S29" s="4"/>
      <c r="T29" s="4"/>
      <c r="U29" s="4"/>
      <c r="V29" s="4"/>
    </row>
    <row r="30" spans="1:23" ht="46.5" customHeight="1">
      <c r="A30" s="25"/>
      <c r="B30" s="25"/>
      <c r="C30" s="76" t="s">
        <v>92</v>
      </c>
      <c r="D30" s="5"/>
      <c r="E30" s="5"/>
      <c r="F30" s="5"/>
      <c r="H30" s="89"/>
      <c r="I30" s="4"/>
      <c r="J30" s="4"/>
      <c r="K30" s="4"/>
      <c r="L30" s="4"/>
      <c r="M30" s="45"/>
      <c r="N30" s="4"/>
      <c r="O30" s="4"/>
    </row>
    <row r="31" spans="1:23" ht="24.95" customHeight="1" thickBot="1">
      <c r="A31" s="25"/>
      <c r="B31" s="25">
        <v>23</v>
      </c>
      <c r="C31" s="5" t="s">
        <v>93</v>
      </c>
      <c r="D31" s="5">
        <v>200</v>
      </c>
      <c r="E31" s="35">
        <v>400</v>
      </c>
      <c r="F31" s="5"/>
      <c r="H31" s="53">
        <f>H28-I28</f>
        <v>175</v>
      </c>
      <c r="M31" s="86">
        <v>2500</v>
      </c>
      <c r="N31" s="70"/>
      <c r="P31" s="4"/>
      <c r="Q31" s="4"/>
      <c r="R31" s="4"/>
      <c r="S31" s="4"/>
      <c r="T31" s="4"/>
      <c r="U31" s="4"/>
    </row>
    <row r="32" spans="1:23" ht="24.95" customHeight="1" thickTop="1">
      <c r="A32" s="25"/>
      <c r="B32" s="25"/>
      <c r="C32" s="5" t="s">
        <v>84</v>
      </c>
      <c r="D32" s="5">
        <v>110</v>
      </c>
      <c r="E32" s="35"/>
      <c r="F32" s="5">
        <v>400</v>
      </c>
      <c r="H32" s="113"/>
      <c r="I32" s="113"/>
      <c r="J32" s="4"/>
      <c r="K32" s="4"/>
      <c r="M32" s="113"/>
      <c r="N32" s="113"/>
      <c r="O32" s="4"/>
      <c r="P32" s="24"/>
      <c r="Q32" s="24"/>
      <c r="R32" s="24"/>
      <c r="S32" s="24"/>
      <c r="T32" s="24"/>
      <c r="U32" s="24"/>
    </row>
    <row r="33" spans="1:21" ht="24.95" customHeight="1">
      <c r="A33" s="25"/>
      <c r="B33" s="25"/>
      <c r="C33" s="5" t="s">
        <v>96</v>
      </c>
      <c r="D33" s="5"/>
      <c r="E33" s="5"/>
      <c r="F33" s="35"/>
      <c r="H33" s="24"/>
      <c r="I33" s="24"/>
      <c r="J33" s="24"/>
      <c r="K33" s="24"/>
      <c r="L33" s="24"/>
      <c r="M33" s="24"/>
      <c r="N33" s="24"/>
      <c r="O33" s="24"/>
      <c r="P33" s="23"/>
      <c r="Q33" s="23"/>
      <c r="R33" s="23"/>
      <c r="S33" s="23"/>
      <c r="T33" s="23"/>
      <c r="U33" s="23"/>
    </row>
    <row r="34" spans="1:21" ht="24.95" customHeight="1">
      <c r="A34" s="25"/>
      <c r="B34" s="25">
        <v>31</v>
      </c>
      <c r="C34" s="5" t="s">
        <v>94</v>
      </c>
      <c r="D34" s="5">
        <v>600</v>
      </c>
      <c r="E34" s="5">
        <v>2200</v>
      </c>
      <c r="F34" s="35"/>
      <c r="H34" s="112" t="s">
        <v>44</v>
      </c>
      <c r="I34" s="112"/>
      <c r="J34" s="4">
        <v>600</v>
      </c>
      <c r="K34" s="4"/>
      <c r="M34" s="112" t="s">
        <v>45</v>
      </c>
      <c r="N34" s="112"/>
      <c r="O34" s="81">
        <v>601</v>
      </c>
    </row>
    <row r="35" spans="1:21" ht="45" customHeight="1">
      <c r="A35" s="25"/>
      <c r="B35" s="94"/>
      <c r="C35" s="95" t="s">
        <v>95</v>
      </c>
      <c r="D35" s="96">
        <v>601</v>
      </c>
      <c r="E35" s="96">
        <v>25</v>
      </c>
      <c r="F35" s="96"/>
      <c r="H35" s="48" t="s">
        <v>4</v>
      </c>
      <c r="I35" s="48" t="s">
        <v>5</v>
      </c>
      <c r="J35" s="4"/>
      <c r="K35" s="4"/>
      <c r="L35" s="24"/>
      <c r="M35" s="48" t="s">
        <v>4</v>
      </c>
      <c r="N35" s="48" t="s">
        <v>5</v>
      </c>
      <c r="P35" s="4"/>
      <c r="Q35" s="4"/>
      <c r="R35" s="4"/>
      <c r="S35" s="4"/>
      <c r="T35" s="4"/>
      <c r="U35" s="4"/>
    </row>
    <row r="36" spans="1:21" ht="24.95" customHeight="1">
      <c r="B36" s="91"/>
      <c r="C36" s="92" t="s">
        <v>84</v>
      </c>
      <c r="D36" s="92">
        <v>110</v>
      </c>
      <c r="E36" s="92"/>
      <c r="F36" s="92">
        <v>2200</v>
      </c>
      <c r="G36" s="27">
        <v>31</v>
      </c>
      <c r="H36" s="29">
        <v>2200</v>
      </c>
      <c r="I36" s="23"/>
      <c r="J36" s="23"/>
      <c r="K36" s="23"/>
      <c r="L36" s="24">
        <v>31</v>
      </c>
      <c r="M36" s="29">
        <v>25</v>
      </c>
      <c r="N36" s="23"/>
      <c r="O36" s="4"/>
    </row>
    <row r="37" spans="1:21" ht="24.95" customHeight="1">
      <c r="B37" s="91"/>
      <c r="C37" s="92" t="s">
        <v>88</v>
      </c>
      <c r="D37" s="92">
        <v>101</v>
      </c>
      <c r="E37" s="92"/>
      <c r="F37" s="92">
        <v>25</v>
      </c>
      <c r="H37" s="51"/>
      <c r="M37" s="51"/>
    </row>
    <row r="38" spans="1:21" ht="24.95" customHeight="1">
      <c r="B38" s="91"/>
      <c r="C38" s="92" t="s">
        <v>97</v>
      </c>
      <c r="D38" s="92"/>
      <c r="E38" s="93"/>
      <c r="F38" s="93"/>
      <c r="H38" s="45"/>
      <c r="I38" s="4"/>
      <c r="J38" s="4"/>
      <c r="K38" s="4"/>
      <c r="L38" s="4"/>
      <c r="M38" s="45"/>
      <c r="N38" s="4"/>
    </row>
    <row r="39" spans="1:21" ht="24.95" customHeight="1" thickBot="1">
      <c r="H39" s="53">
        <f>H36</f>
        <v>2200</v>
      </c>
      <c r="M39" s="86">
        <f>M36</f>
        <v>25</v>
      </c>
      <c r="N39" s="70"/>
    </row>
    <row r="40" spans="1:21" ht="24.95" customHeight="1" thickTop="1">
      <c r="H40" s="113"/>
      <c r="I40" s="113"/>
      <c r="J40" s="4"/>
      <c r="K40" s="4"/>
      <c r="M40" s="113"/>
      <c r="N40" s="113"/>
    </row>
  </sheetData>
  <mergeCells count="24">
    <mergeCell ref="A1:E1"/>
    <mergeCell ref="Q1:R1"/>
    <mergeCell ref="H34:I34"/>
    <mergeCell ref="M34:N34"/>
    <mergeCell ref="H40:I40"/>
    <mergeCell ref="M40:N40"/>
    <mergeCell ref="A6:B6"/>
    <mergeCell ref="A4:F4"/>
    <mergeCell ref="A2:F2"/>
    <mergeCell ref="A3:F3"/>
    <mergeCell ref="A5:B5"/>
    <mergeCell ref="M1:N1"/>
    <mergeCell ref="H1:I1"/>
    <mergeCell ref="H11:I11"/>
    <mergeCell ref="M11:N11"/>
    <mergeCell ref="W11:X11"/>
    <mergeCell ref="H19:I19"/>
    <mergeCell ref="H26:I26"/>
    <mergeCell ref="M26:N26"/>
    <mergeCell ref="H32:I32"/>
    <mergeCell ref="M32:N32"/>
    <mergeCell ref="M19:N19"/>
    <mergeCell ref="Q11:R11"/>
    <mergeCell ref="Q19:R19"/>
  </mergeCells>
  <phoneticPr fontId="4" type="noConversion"/>
  <printOptions horizontalCentered="1" verticalCentered="1"/>
  <pageMargins left="0.19685039370078741" right="0.19685039370078741" top="0.55000000000000004" bottom="0.55000000000000004" header="0" footer="0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8"/>
  <sheetViews>
    <sheetView topLeftCell="A21" workbookViewId="0">
      <selection activeCell="A3" sqref="A3:L3"/>
    </sheetView>
  </sheetViews>
  <sheetFormatPr baseColWidth="10" defaultColWidth="10.875" defaultRowHeight="17.25"/>
  <cols>
    <col min="1" max="1" width="8.375" style="6" customWidth="1"/>
    <col min="2" max="2" width="3.125" style="6" customWidth="1"/>
    <col min="3" max="3" width="19" style="6" customWidth="1"/>
    <col min="4" max="4" width="5" style="6" customWidth="1"/>
    <col min="5" max="5" width="12" style="6" customWidth="1"/>
    <col min="6" max="6" width="4.875" style="6" customWidth="1"/>
    <col min="7" max="7" width="8.375" style="6" customWidth="1"/>
    <col min="8" max="8" width="3.125" style="6" customWidth="1"/>
    <col min="9" max="9" width="17" style="6" customWidth="1"/>
    <col min="10" max="10" width="5" style="6" customWidth="1"/>
    <col min="11" max="11" width="11.125" style="6" bestFit="1" customWidth="1"/>
    <col min="12" max="12" width="5" style="6" customWidth="1"/>
    <col min="13" max="17" width="10.875" style="6"/>
    <col min="18" max="18" width="9.875" style="6" customWidth="1"/>
    <col min="19" max="16384" width="10.875" style="6"/>
  </cols>
  <sheetData>
    <row r="1" spans="1:17" s="8" customFormat="1" ht="18.75">
      <c r="A1" s="130" t="s">
        <v>16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</row>
    <row r="2" spans="1:17" s="8" customFormat="1" ht="18.75">
      <c r="A2" s="130"/>
      <c r="B2" s="130"/>
      <c r="C2" s="130"/>
      <c r="D2" s="130"/>
      <c r="E2" s="130"/>
      <c r="F2" s="130"/>
      <c r="G2" s="130"/>
      <c r="H2" s="130"/>
      <c r="I2" s="118" t="s">
        <v>17</v>
      </c>
      <c r="J2" s="130"/>
      <c r="K2" s="134">
        <v>100</v>
      </c>
      <c r="L2" s="135"/>
      <c r="P2" s="37" t="s">
        <v>18</v>
      </c>
      <c r="Q2" s="39"/>
    </row>
    <row r="3" spans="1:17" ht="19.5" thickBot="1">
      <c r="A3" s="143" t="s">
        <v>72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P3" s="38" t="s">
        <v>14</v>
      </c>
      <c r="Q3" s="39"/>
    </row>
    <row r="4" spans="1:17" s="7" customFormat="1" ht="18.75">
      <c r="A4" s="13" t="s">
        <v>9</v>
      </c>
      <c r="B4" s="14"/>
      <c r="C4" s="14" t="s">
        <v>10</v>
      </c>
      <c r="D4" s="14" t="s">
        <v>19</v>
      </c>
      <c r="E4" s="138" t="s">
        <v>20</v>
      </c>
      <c r="F4" s="138"/>
      <c r="G4" s="14" t="s">
        <v>9</v>
      </c>
      <c r="H4" s="14"/>
      <c r="I4" s="14" t="s">
        <v>10</v>
      </c>
      <c r="J4" s="14" t="s">
        <v>19</v>
      </c>
      <c r="K4" s="138" t="s">
        <v>21</v>
      </c>
      <c r="L4" s="139"/>
      <c r="P4" s="38" t="s">
        <v>1</v>
      </c>
      <c r="Q4" s="39"/>
    </row>
    <row r="5" spans="1:17" s="7" customFormat="1" ht="18.75">
      <c r="A5" s="40" t="s">
        <v>99</v>
      </c>
      <c r="B5" s="9">
        <v>1</v>
      </c>
      <c r="C5" s="9"/>
      <c r="D5" s="9">
        <v>1</v>
      </c>
      <c r="E5" s="144">
        <v>150000</v>
      </c>
      <c r="F5" s="145"/>
      <c r="G5" s="10" t="s">
        <v>73</v>
      </c>
      <c r="H5" s="10">
        <v>3</v>
      </c>
      <c r="I5" s="9"/>
      <c r="J5" s="9">
        <v>1</v>
      </c>
      <c r="K5" s="31">
        <v>100000</v>
      </c>
      <c r="L5" s="60"/>
      <c r="P5" s="38" t="s">
        <v>15</v>
      </c>
      <c r="Q5" s="39"/>
    </row>
    <row r="6" spans="1:17" ht="18.75">
      <c r="A6" s="15"/>
      <c r="B6" s="10"/>
      <c r="C6" s="10"/>
      <c r="D6" s="10"/>
      <c r="E6" s="146"/>
      <c r="F6" s="147"/>
      <c r="G6" s="10"/>
      <c r="H6" s="10">
        <v>31</v>
      </c>
      <c r="I6" s="10"/>
      <c r="J6" s="9">
        <v>1</v>
      </c>
      <c r="K6" s="61">
        <v>25</v>
      </c>
      <c r="L6" s="60"/>
      <c r="P6" s="38" t="s">
        <v>22</v>
      </c>
      <c r="Q6" s="39"/>
    </row>
    <row r="7" spans="1:17" ht="18.75">
      <c r="A7" s="15"/>
      <c r="B7" s="10"/>
      <c r="C7" s="10"/>
      <c r="D7" s="10"/>
      <c r="E7" s="10"/>
      <c r="F7" s="10"/>
      <c r="G7" s="10"/>
      <c r="H7" s="10"/>
      <c r="I7" s="10"/>
      <c r="J7" s="9"/>
      <c r="K7" s="31"/>
      <c r="L7" s="60"/>
      <c r="P7" s="38" t="s">
        <v>8</v>
      </c>
      <c r="Q7" s="39"/>
    </row>
    <row r="8" spans="1:17">
      <c r="A8" s="15"/>
      <c r="B8" s="10"/>
      <c r="C8" s="10"/>
      <c r="D8" s="10"/>
      <c r="E8" s="10"/>
      <c r="F8" s="10"/>
      <c r="G8" s="10"/>
      <c r="H8" s="10"/>
      <c r="I8" s="10"/>
      <c r="J8" s="10"/>
      <c r="K8" s="10"/>
      <c r="L8" s="62"/>
    </row>
    <row r="9" spans="1:17">
      <c r="A9" s="15"/>
      <c r="B9" s="10"/>
      <c r="C9" s="10"/>
      <c r="D9" s="10"/>
      <c r="E9" s="10"/>
      <c r="F9" s="10"/>
      <c r="G9" s="10"/>
      <c r="H9" s="10"/>
      <c r="I9" s="10"/>
      <c r="J9" s="10"/>
      <c r="K9" s="10"/>
      <c r="L9" s="62"/>
    </row>
    <row r="10" spans="1:17">
      <c r="A10" s="15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62"/>
    </row>
    <row r="11" spans="1:17">
      <c r="A11" s="15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62"/>
    </row>
    <row r="12" spans="1:17" ht="18" thickBot="1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63"/>
    </row>
    <row r="13" spans="1:17">
      <c r="A13" s="140"/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2"/>
    </row>
    <row r="14" spans="1:17" ht="19.5" thickBot="1">
      <c r="A14" s="118" t="s">
        <v>100</v>
      </c>
      <c r="B14" s="130"/>
      <c r="C14" s="130"/>
      <c r="D14" s="130"/>
      <c r="E14" s="130"/>
      <c r="F14" s="130"/>
      <c r="G14" s="130"/>
      <c r="H14" s="130"/>
      <c r="I14" s="118" t="s">
        <v>17</v>
      </c>
      <c r="J14" s="130"/>
      <c r="K14" s="134">
        <v>101</v>
      </c>
      <c r="L14" s="135"/>
    </row>
    <row r="15" spans="1:17" ht="18" thickBot="1">
      <c r="A15" s="11" t="s">
        <v>9</v>
      </c>
      <c r="B15" s="12"/>
      <c r="C15" s="12" t="s">
        <v>10</v>
      </c>
      <c r="D15" s="12" t="s">
        <v>19</v>
      </c>
      <c r="E15" s="132" t="s">
        <v>20</v>
      </c>
      <c r="F15" s="132"/>
      <c r="G15" s="12" t="s">
        <v>9</v>
      </c>
      <c r="H15" s="12"/>
      <c r="I15" s="12" t="s">
        <v>10</v>
      </c>
      <c r="J15" s="12" t="s">
        <v>19</v>
      </c>
      <c r="K15" s="136" t="s">
        <v>21</v>
      </c>
      <c r="L15" s="137"/>
    </row>
    <row r="16" spans="1:17">
      <c r="A16" s="15" t="s">
        <v>73</v>
      </c>
      <c r="B16" s="10">
        <v>10</v>
      </c>
      <c r="C16" s="10"/>
      <c r="D16" s="9">
        <v>1</v>
      </c>
      <c r="E16" s="64">
        <v>200</v>
      </c>
      <c r="F16" s="10"/>
      <c r="G16" s="10"/>
      <c r="H16" s="10"/>
      <c r="I16" s="10"/>
      <c r="J16" s="10"/>
      <c r="K16" s="10"/>
      <c r="L16" s="62"/>
    </row>
    <row r="17" spans="1:12">
      <c r="A17" s="15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62"/>
    </row>
    <row r="18" spans="1:12">
      <c r="A18" s="15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62"/>
    </row>
    <row r="19" spans="1:12">
      <c r="A19" s="15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62"/>
    </row>
    <row r="20" spans="1:12">
      <c r="A20" s="15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62"/>
    </row>
    <row r="21" spans="1:12">
      <c r="A21" s="15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62"/>
    </row>
    <row r="22" spans="1:12" ht="18" thickBot="1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63"/>
    </row>
    <row r="24" spans="1:12" ht="19.5" thickBot="1">
      <c r="A24" s="118" t="s">
        <v>77</v>
      </c>
      <c r="B24" s="130"/>
      <c r="C24" s="130"/>
      <c r="D24" s="130"/>
      <c r="E24" s="130"/>
      <c r="F24" s="130"/>
      <c r="G24" s="130"/>
      <c r="H24" s="130"/>
      <c r="I24" s="118" t="s">
        <v>17</v>
      </c>
      <c r="J24" s="130"/>
      <c r="K24" s="131"/>
      <c r="L24" s="131"/>
    </row>
    <row r="25" spans="1:12" ht="18" thickBot="1">
      <c r="A25" s="11" t="s">
        <v>9</v>
      </c>
      <c r="B25" s="12"/>
      <c r="C25" s="12" t="s">
        <v>10</v>
      </c>
      <c r="D25" s="12" t="s">
        <v>19</v>
      </c>
      <c r="E25" s="132" t="s">
        <v>20</v>
      </c>
      <c r="F25" s="132"/>
      <c r="G25" s="12" t="s">
        <v>9</v>
      </c>
      <c r="H25" s="12"/>
      <c r="I25" s="12" t="s">
        <v>10</v>
      </c>
      <c r="J25" s="12" t="s">
        <v>19</v>
      </c>
      <c r="K25" s="132" t="s">
        <v>21</v>
      </c>
      <c r="L25" s="133"/>
    </row>
    <row r="26" spans="1:12">
      <c r="A26" s="15" t="s">
        <v>99</v>
      </c>
      <c r="B26" s="10">
        <v>3</v>
      </c>
      <c r="C26" s="10"/>
      <c r="D26" s="9">
        <v>1</v>
      </c>
      <c r="E26" s="54">
        <v>100000</v>
      </c>
      <c r="F26" s="10"/>
      <c r="G26" s="10" t="s">
        <v>73</v>
      </c>
      <c r="H26" s="10">
        <v>5</v>
      </c>
      <c r="I26" s="10"/>
      <c r="J26" s="10">
        <v>1</v>
      </c>
      <c r="K26" s="10">
        <v>40000</v>
      </c>
      <c r="L26" s="62"/>
    </row>
    <row r="27" spans="1:12">
      <c r="A27" s="15"/>
      <c r="B27" s="10">
        <v>6</v>
      </c>
      <c r="C27" s="10"/>
      <c r="D27" s="10">
        <v>1</v>
      </c>
      <c r="E27" s="10">
        <v>3000</v>
      </c>
      <c r="F27" s="10"/>
      <c r="G27" s="10"/>
      <c r="H27" s="10">
        <v>10</v>
      </c>
      <c r="I27" s="10"/>
      <c r="J27" s="10">
        <v>1</v>
      </c>
      <c r="K27" s="10">
        <v>200</v>
      </c>
      <c r="L27" s="62"/>
    </row>
    <row r="28" spans="1:12">
      <c r="A28" s="15"/>
      <c r="B28" s="10">
        <v>17</v>
      </c>
      <c r="C28" s="10"/>
      <c r="D28" s="10">
        <v>1</v>
      </c>
      <c r="E28" s="10">
        <v>1600</v>
      </c>
      <c r="F28" s="10"/>
      <c r="G28" s="10"/>
      <c r="H28" s="10">
        <v>23</v>
      </c>
      <c r="I28" s="10"/>
      <c r="J28" s="10">
        <v>1</v>
      </c>
      <c r="K28" s="10">
        <v>400</v>
      </c>
      <c r="L28" s="62"/>
    </row>
    <row r="29" spans="1:12">
      <c r="A29" s="15"/>
      <c r="B29" s="10"/>
      <c r="C29" s="10"/>
      <c r="D29" s="10"/>
      <c r="E29" s="10"/>
      <c r="F29" s="10"/>
      <c r="G29" s="10"/>
      <c r="H29" s="10">
        <v>31</v>
      </c>
      <c r="I29" s="10"/>
      <c r="J29" s="10">
        <v>1</v>
      </c>
      <c r="K29" s="10">
        <v>1200</v>
      </c>
      <c r="L29" s="62"/>
    </row>
    <row r="30" spans="1:12">
      <c r="A30" s="15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62"/>
    </row>
    <row r="31" spans="1:12">
      <c r="A31" s="15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62"/>
    </row>
    <row r="32" spans="1:12" ht="18" thickBot="1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63"/>
    </row>
    <row r="34" spans="1:12" ht="19.5" thickBot="1">
      <c r="A34" s="118" t="s">
        <v>101</v>
      </c>
      <c r="B34" s="130"/>
      <c r="C34" s="130"/>
      <c r="D34" s="130"/>
      <c r="E34" s="130"/>
      <c r="F34" s="130"/>
      <c r="G34" s="130"/>
      <c r="H34" s="130"/>
      <c r="I34" s="118" t="s">
        <v>17</v>
      </c>
      <c r="J34" s="130"/>
      <c r="K34" s="131">
        <v>112</v>
      </c>
      <c r="L34" s="131"/>
    </row>
    <row r="35" spans="1:12" ht="18" thickBot="1">
      <c r="A35" s="11" t="s">
        <v>9</v>
      </c>
      <c r="B35" s="12"/>
      <c r="C35" s="12" t="s">
        <v>10</v>
      </c>
      <c r="D35" s="12" t="s">
        <v>19</v>
      </c>
      <c r="E35" s="132" t="s">
        <v>20</v>
      </c>
      <c r="F35" s="132"/>
      <c r="G35" s="12" t="s">
        <v>9</v>
      </c>
      <c r="H35" s="12"/>
      <c r="I35" s="12" t="s">
        <v>10</v>
      </c>
      <c r="J35" s="12" t="s">
        <v>19</v>
      </c>
      <c r="K35" s="132" t="s">
        <v>21</v>
      </c>
      <c r="L35" s="133"/>
    </row>
    <row r="36" spans="1:12">
      <c r="A36" s="15" t="s">
        <v>73</v>
      </c>
      <c r="B36" s="10">
        <v>19</v>
      </c>
      <c r="C36" s="10"/>
      <c r="D36" s="9">
        <v>1</v>
      </c>
      <c r="E36" s="65">
        <v>2500</v>
      </c>
      <c r="F36" s="10"/>
      <c r="G36" s="10"/>
      <c r="H36" s="10"/>
      <c r="I36" s="10"/>
      <c r="J36" s="10"/>
      <c r="K36" s="10"/>
      <c r="L36" s="62"/>
    </row>
    <row r="37" spans="1:12">
      <c r="A37" s="15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62"/>
    </row>
    <row r="38" spans="1:12">
      <c r="A38" s="15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62"/>
    </row>
    <row r="39" spans="1:12">
      <c r="A39" s="15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62"/>
    </row>
    <row r="40" spans="1:12">
      <c r="A40" s="15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62"/>
    </row>
    <row r="41" spans="1:12">
      <c r="A41" s="15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62"/>
    </row>
    <row r="42" spans="1:12">
      <c r="A42" s="15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62"/>
    </row>
    <row r="43" spans="1:12">
      <c r="A43" s="15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62"/>
    </row>
    <row r="44" spans="1:12" ht="18" thickBot="1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63"/>
    </row>
    <row r="46" spans="1:12" ht="19.5" thickBot="1">
      <c r="A46" s="118" t="s">
        <v>83</v>
      </c>
      <c r="B46" s="130"/>
      <c r="C46" s="130"/>
      <c r="D46" s="130"/>
      <c r="E46" s="130"/>
      <c r="F46" s="130"/>
      <c r="G46" s="130"/>
      <c r="H46" s="130"/>
      <c r="I46" s="118" t="s">
        <v>17</v>
      </c>
      <c r="J46" s="130"/>
      <c r="K46" s="131">
        <v>120</v>
      </c>
      <c r="L46" s="131"/>
    </row>
    <row r="47" spans="1:12" ht="18" thickBot="1">
      <c r="A47" s="11" t="s">
        <v>9</v>
      </c>
      <c r="B47" s="12"/>
      <c r="C47" s="12" t="s">
        <v>10</v>
      </c>
      <c r="D47" s="12" t="s">
        <v>19</v>
      </c>
      <c r="E47" s="132" t="s">
        <v>20</v>
      </c>
      <c r="F47" s="132"/>
      <c r="G47" s="12" t="s">
        <v>9</v>
      </c>
      <c r="H47" s="12"/>
      <c r="I47" s="12" t="s">
        <v>10</v>
      </c>
      <c r="J47" s="12" t="s">
        <v>19</v>
      </c>
      <c r="K47" s="132" t="s">
        <v>21</v>
      </c>
      <c r="L47" s="133"/>
    </row>
    <row r="48" spans="1:12">
      <c r="A48" s="15" t="s">
        <v>73</v>
      </c>
      <c r="B48" s="10">
        <v>5</v>
      </c>
      <c r="C48" s="10"/>
      <c r="D48" s="9">
        <v>1</v>
      </c>
      <c r="E48" s="64">
        <v>40000</v>
      </c>
      <c r="F48" s="10"/>
      <c r="G48" s="10"/>
      <c r="H48" s="10"/>
      <c r="I48" s="10"/>
      <c r="J48" s="10"/>
      <c r="K48" s="10"/>
      <c r="L48" s="62"/>
    </row>
    <row r="49" spans="1:12">
      <c r="A49" s="15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62"/>
    </row>
    <row r="50" spans="1:12">
      <c r="A50" s="15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62"/>
    </row>
    <row r="51" spans="1:12">
      <c r="A51" s="15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62"/>
    </row>
    <row r="52" spans="1:12">
      <c r="A52" s="15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62"/>
    </row>
    <row r="53" spans="1:12">
      <c r="A53" s="15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62"/>
    </row>
    <row r="54" spans="1:12">
      <c r="A54" s="15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62"/>
    </row>
    <row r="55" spans="1:12">
      <c r="A55" s="15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62"/>
    </row>
    <row r="56" spans="1:12" ht="18" thickBot="1">
      <c r="A56" s="16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63"/>
    </row>
    <row r="58" spans="1:12" ht="19.5" thickBot="1">
      <c r="A58" s="118" t="s">
        <v>102</v>
      </c>
      <c r="B58" s="130"/>
      <c r="C58" s="130"/>
      <c r="D58" s="130"/>
      <c r="E58" s="130"/>
      <c r="F58" s="130"/>
      <c r="G58" s="130"/>
      <c r="H58" s="130"/>
      <c r="I58" s="118" t="s">
        <v>17</v>
      </c>
      <c r="J58" s="130"/>
      <c r="K58" s="131">
        <v>130</v>
      </c>
      <c r="L58" s="131"/>
    </row>
    <row r="59" spans="1:12" ht="18" thickBot="1">
      <c r="A59" s="11" t="s">
        <v>9</v>
      </c>
      <c r="B59" s="12"/>
      <c r="C59" s="12" t="s">
        <v>10</v>
      </c>
      <c r="D59" s="12" t="s">
        <v>19</v>
      </c>
      <c r="E59" s="132" t="s">
        <v>20</v>
      </c>
      <c r="F59" s="132"/>
      <c r="G59" s="12" t="s">
        <v>9</v>
      </c>
      <c r="H59" s="12"/>
      <c r="I59" s="12" t="s">
        <v>10</v>
      </c>
      <c r="J59" s="12" t="s">
        <v>19</v>
      </c>
      <c r="K59" s="132" t="s">
        <v>21</v>
      </c>
      <c r="L59" s="133"/>
    </row>
    <row r="60" spans="1:12">
      <c r="A60" s="15" t="s">
        <v>73</v>
      </c>
      <c r="B60" s="10">
        <v>4</v>
      </c>
      <c r="C60" s="10"/>
      <c r="D60" s="10">
        <v>1</v>
      </c>
      <c r="E60" s="10">
        <v>1200</v>
      </c>
      <c r="F60" s="10"/>
      <c r="G60" s="10"/>
      <c r="H60" s="10"/>
      <c r="I60" s="10"/>
      <c r="J60" s="9"/>
      <c r="K60" s="23"/>
      <c r="L60" s="62"/>
    </row>
    <row r="61" spans="1:12">
      <c r="A61" s="15"/>
      <c r="B61" s="10"/>
      <c r="C61" s="10"/>
      <c r="D61" s="10"/>
      <c r="E61" s="10"/>
      <c r="F61" s="10"/>
      <c r="G61" s="10"/>
      <c r="H61" s="10"/>
      <c r="I61" s="10"/>
      <c r="J61" s="9"/>
      <c r="K61" s="29"/>
      <c r="L61" s="62"/>
    </row>
    <row r="62" spans="1:12">
      <c r="A62" s="15"/>
      <c r="B62" s="10"/>
      <c r="C62" s="10"/>
      <c r="D62" s="9"/>
      <c r="E62" s="55"/>
      <c r="F62" s="10"/>
      <c r="G62" s="10"/>
      <c r="H62" s="10"/>
      <c r="I62" s="10"/>
      <c r="J62" s="10"/>
      <c r="K62" s="10"/>
      <c r="L62" s="62"/>
    </row>
    <row r="63" spans="1:12">
      <c r="A63" s="15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62"/>
    </row>
    <row r="64" spans="1:12">
      <c r="A64" s="15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62"/>
    </row>
    <row r="65" spans="1:12">
      <c r="A65" s="15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62"/>
    </row>
    <row r="66" spans="1:12">
      <c r="A66" s="15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62"/>
    </row>
    <row r="67" spans="1:12">
      <c r="A67" s="15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62"/>
    </row>
    <row r="68" spans="1:12" ht="18" thickBot="1">
      <c r="A68" s="16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63"/>
    </row>
    <row r="70" spans="1:12" ht="19.5" thickBot="1">
      <c r="A70" s="118" t="s">
        <v>80</v>
      </c>
      <c r="B70" s="130"/>
      <c r="C70" s="130"/>
      <c r="D70" s="130"/>
      <c r="E70" s="130"/>
      <c r="F70" s="130"/>
      <c r="G70" s="130"/>
      <c r="H70" s="130"/>
      <c r="I70" s="118" t="s">
        <v>17</v>
      </c>
      <c r="J70" s="130"/>
      <c r="K70" s="131">
        <v>200</v>
      </c>
      <c r="L70" s="131"/>
    </row>
    <row r="71" spans="1:12" ht="18" thickBot="1">
      <c r="A71" s="11" t="s">
        <v>9</v>
      </c>
      <c r="B71" s="12"/>
      <c r="C71" s="12" t="s">
        <v>10</v>
      </c>
      <c r="D71" s="12" t="s">
        <v>19</v>
      </c>
      <c r="E71" s="132" t="s">
        <v>20</v>
      </c>
      <c r="F71" s="132"/>
      <c r="G71" s="12" t="s">
        <v>9</v>
      </c>
      <c r="H71" s="12"/>
      <c r="I71" s="12" t="s">
        <v>10</v>
      </c>
      <c r="J71" s="12" t="s">
        <v>19</v>
      </c>
      <c r="K71" s="132" t="s">
        <v>21</v>
      </c>
      <c r="L71" s="133"/>
    </row>
    <row r="72" spans="1:12">
      <c r="A72" s="15" t="s">
        <v>73</v>
      </c>
      <c r="B72" s="10">
        <v>23</v>
      </c>
      <c r="C72" s="10"/>
      <c r="D72" s="10">
        <v>1</v>
      </c>
      <c r="E72" s="10">
        <v>400</v>
      </c>
      <c r="F72" s="10"/>
      <c r="G72" s="10" t="s">
        <v>73</v>
      </c>
      <c r="H72" s="10">
        <v>4</v>
      </c>
      <c r="I72" s="10"/>
      <c r="J72" s="9">
        <v>1</v>
      </c>
      <c r="K72" s="64">
        <v>1200</v>
      </c>
      <c r="L72" s="62"/>
    </row>
    <row r="73" spans="1:12">
      <c r="A73" s="15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62"/>
    </row>
    <row r="74" spans="1:12">
      <c r="A74" s="15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62"/>
    </row>
    <row r="75" spans="1:12">
      <c r="A75" s="15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62"/>
    </row>
    <row r="76" spans="1:12">
      <c r="A76" s="15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62"/>
    </row>
    <row r="77" spans="1:12">
      <c r="A77" s="15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62"/>
    </row>
    <row r="78" spans="1:12">
      <c r="A78" s="15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62"/>
    </row>
    <row r="79" spans="1:12">
      <c r="A79" s="15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62"/>
    </row>
    <row r="80" spans="1:12" ht="18" thickBot="1">
      <c r="A80" s="16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63"/>
    </row>
    <row r="82" spans="1:12" ht="19.5" thickBot="1">
      <c r="A82" s="118" t="s">
        <v>1</v>
      </c>
      <c r="B82" s="130"/>
      <c r="C82" s="130"/>
      <c r="D82" s="130"/>
      <c r="E82" s="130"/>
      <c r="F82" s="130"/>
      <c r="G82" s="130"/>
      <c r="H82" s="130"/>
      <c r="I82" s="118" t="s">
        <v>17</v>
      </c>
      <c r="J82" s="130"/>
      <c r="K82" s="131">
        <v>300</v>
      </c>
      <c r="L82" s="131"/>
    </row>
    <row r="83" spans="1:12" ht="18" thickBot="1">
      <c r="A83" s="11" t="s">
        <v>9</v>
      </c>
      <c r="B83" s="12"/>
      <c r="C83" s="12" t="s">
        <v>10</v>
      </c>
      <c r="D83" s="12" t="s">
        <v>19</v>
      </c>
      <c r="E83" s="132" t="s">
        <v>20</v>
      </c>
      <c r="F83" s="132"/>
      <c r="G83" s="12" t="s">
        <v>9</v>
      </c>
      <c r="H83" s="12"/>
      <c r="I83" s="12" t="s">
        <v>10</v>
      </c>
      <c r="J83" s="12" t="s">
        <v>19</v>
      </c>
      <c r="K83" s="132" t="s">
        <v>21</v>
      </c>
      <c r="L83" s="133"/>
    </row>
    <row r="84" spans="1:12">
      <c r="A84" s="15"/>
      <c r="B84" s="10"/>
      <c r="C84" s="10"/>
      <c r="D84" s="10"/>
      <c r="E84" s="10"/>
      <c r="F84" s="10"/>
      <c r="G84" s="10" t="s">
        <v>73</v>
      </c>
      <c r="H84" s="10">
        <v>1</v>
      </c>
      <c r="I84" s="10"/>
      <c r="J84" s="9">
        <v>1</v>
      </c>
      <c r="K84" s="64">
        <v>150000</v>
      </c>
      <c r="L84" s="62"/>
    </row>
    <row r="85" spans="1:12">
      <c r="A85" s="15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62"/>
    </row>
    <row r="86" spans="1:12">
      <c r="A86" s="15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62"/>
    </row>
    <row r="87" spans="1:12">
      <c r="A87" s="15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62"/>
    </row>
    <row r="88" spans="1:12">
      <c r="A88" s="15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62"/>
    </row>
    <row r="89" spans="1:12">
      <c r="A89" s="15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62"/>
    </row>
    <row r="90" spans="1:12">
      <c r="A90" s="15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62"/>
    </row>
    <row r="91" spans="1:12">
      <c r="A91" s="15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62"/>
    </row>
    <row r="92" spans="1:12" ht="18" thickBot="1">
      <c r="A92" s="16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63"/>
    </row>
    <row r="94" spans="1:12" ht="19.5" thickBot="1">
      <c r="A94" s="118" t="s">
        <v>103</v>
      </c>
      <c r="B94" s="130"/>
      <c r="C94" s="130"/>
      <c r="D94" s="130"/>
      <c r="E94" s="130"/>
      <c r="F94" s="130"/>
      <c r="G94" s="130"/>
      <c r="H94" s="130"/>
      <c r="I94" s="118" t="s">
        <v>17</v>
      </c>
      <c r="J94" s="130"/>
      <c r="K94" s="131">
        <v>400</v>
      </c>
      <c r="L94" s="131"/>
    </row>
    <row r="95" spans="1:12" ht="18" thickBot="1">
      <c r="A95" s="11" t="s">
        <v>9</v>
      </c>
      <c r="B95" s="12"/>
      <c r="C95" s="12" t="s">
        <v>10</v>
      </c>
      <c r="D95" s="12" t="s">
        <v>19</v>
      </c>
      <c r="E95" s="132" t="s">
        <v>20</v>
      </c>
      <c r="F95" s="132"/>
      <c r="G95" s="12" t="s">
        <v>9</v>
      </c>
      <c r="H95" s="12"/>
      <c r="I95" s="12" t="s">
        <v>10</v>
      </c>
      <c r="J95" s="12" t="s">
        <v>19</v>
      </c>
      <c r="K95" s="132" t="s">
        <v>21</v>
      </c>
      <c r="L95" s="133"/>
    </row>
    <row r="96" spans="1:12">
      <c r="A96" s="15"/>
      <c r="B96" s="10"/>
      <c r="C96" s="10"/>
      <c r="D96" s="9"/>
      <c r="E96" s="65"/>
      <c r="F96" s="10"/>
      <c r="G96" s="10" t="s">
        <v>73</v>
      </c>
      <c r="H96" s="10">
        <v>6</v>
      </c>
      <c r="I96" s="10"/>
      <c r="J96" s="10">
        <v>1</v>
      </c>
      <c r="K96" s="64">
        <v>3000</v>
      </c>
      <c r="L96" s="62"/>
    </row>
    <row r="97" spans="1:12">
      <c r="A97" s="15"/>
      <c r="B97" s="10"/>
      <c r="C97" s="10"/>
      <c r="D97" s="10"/>
      <c r="E97" s="10"/>
      <c r="F97" s="10"/>
      <c r="G97" s="10"/>
      <c r="H97" s="10">
        <v>17</v>
      </c>
      <c r="I97" s="10"/>
      <c r="J97" s="10"/>
      <c r="K97" s="10">
        <v>1600</v>
      </c>
      <c r="L97" s="62"/>
    </row>
    <row r="98" spans="1:12">
      <c r="A98" s="15"/>
      <c r="B98" s="10"/>
      <c r="C98" s="10"/>
      <c r="D98" s="10"/>
      <c r="E98" s="10"/>
      <c r="F98" s="10"/>
      <c r="G98" s="10"/>
      <c r="H98" s="10">
        <v>19</v>
      </c>
      <c r="I98" s="10"/>
      <c r="J98" s="10"/>
      <c r="K98" s="10">
        <v>2500</v>
      </c>
      <c r="L98" s="62"/>
    </row>
    <row r="99" spans="1:12">
      <c r="A99" s="15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62"/>
    </row>
    <row r="100" spans="1:12">
      <c r="A100" s="15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62"/>
    </row>
    <row r="101" spans="1:12">
      <c r="A101" s="15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62"/>
    </row>
    <row r="102" spans="1:12">
      <c r="A102" s="15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62"/>
    </row>
    <row r="103" spans="1:12">
      <c r="A103" s="15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62"/>
    </row>
    <row r="104" spans="1:12" ht="18" thickBot="1">
      <c r="A104" s="16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63"/>
    </row>
    <row r="106" spans="1:12" ht="19.5" thickBot="1">
      <c r="A106" s="118" t="s">
        <v>104</v>
      </c>
      <c r="B106" s="130"/>
      <c r="C106" s="130"/>
      <c r="D106" s="130"/>
      <c r="E106" s="130"/>
      <c r="F106" s="130"/>
      <c r="G106" s="130"/>
      <c r="H106" s="130"/>
      <c r="I106" s="118" t="s">
        <v>17</v>
      </c>
      <c r="J106" s="130"/>
      <c r="K106" s="131">
        <v>600</v>
      </c>
      <c r="L106" s="131"/>
    </row>
    <row r="107" spans="1:12" ht="18" thickBot="1">
      <c r="A107" s="11" t="s">
        <v>9</v>
      </c>
      <c r="B107" s="12"/>
      <c r="C107" s="12" t="s">
        <v>10</v>
      </c>
      <c r="D107" s="12" t="s">
        <v>19</v>
      </c>
      <c r="E107" s="132" t="s">
        <v>20</v>
      </c>
      <c r="F107" s="132"/>
      <c r="G107" s="12" t="s">
        <v>9</v>
      </c>
      <c r="H107" s="12"/>
      <c r="I107" s="12" t="s">
        <v>10</v>
      </c>
      <c r="J107" s="12" t="s">
        <v>19</v>
      </c>
      <c r="K107" s="132" t="s">
        <v>21</v>
      </c>
      <c r="L107" s="133"/>
    </row>
    <row r="108" spans="1:12">
      <c r="A108" s="15" t="s">
        <v>73</v>
      </c>
      <c r="B108" s="10">
        <v>31</v>
      </c>
      <c r="C108" s="10"/>
      <c r="D108" s="9">
        <v>1</v>
      </c>
      <c r="E108" s="65">
        <v>2200</v>
      </c>
      <c r="F108" s="10"/>
      <c r="G108" s="10"/>
      <c r="H108" s="10"/>
      <c r="I108" s="10"/>
      <c r="J108" s="10"/>
      <c r="K108" s="64"/>
      <c r="L108" s="62"/>
    </row>
    <row r="109" spans="1:12">
      <c r="A109" s="15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62"/>
    </row>
    <row r="110" spans="1:12">
      <c r="A110" s="15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62"/>
    </row>
    <row r="111" spans="1:12">
      <c r="A111" s="15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62"/>
    </row>
    <row r="112" spans="1:12">
      <c r="A112" s="15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62"/>
    </row>
    <row r="113" spans="1:12">
      <c r="A113" s="15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62"/>
    </row>
    <row r="114" spans="1:12">
      <c r="A114" s="15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62"/>
    </row>
    <row r="115" spans="1:12">
      <c r="A115" s="15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62"/>
    </row>
    <row r="116" spans="1:12" ht="18" thickBot="1">
      <c r="A116" s="16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63"/>
    </row>
    <row r="118" spans="1:12" ht="19.5" thickBot="1">
      <c r="A118" s="118" t="s">
        <v>95</v>
      </c>
      <c r="B118" s="130"/>
      <c r="C118" s="130"/>
      <c r="D118" s="130"/>
      <c r="E118" s="130"/>
      <c r="F118" s="130"/>
      <c r="G118" s="130"/>
      <c r="H118" s="130"/>
      <c r="I118" s="118" t="s">
        <v>17</v>
      </c>
      <c r="J118" s="130"/>
      <c r="K118" s="131">
        <v>601</v>
      </c>
      <c r="L118" s="131"/>
    </row>
    <row r="119" spans="1:12" ht="18" thickBot="1">
      <c r="A119" s="11" t="s">
        <v>9</v>
      </c>
      <c r="B119" s="12"/>
      <c r="C119" s="12" t="s">
        <v>10</v>
      </c>
      <c r="D119" s="12" t="s">
        <v>19</v>
      </c>
      <c r="E119" s="132" t="s">
        <v>20</v>
      </c>
      <c r="F119" s="132"/>
      <c r="G119" s="12" t="s">
        <v>9</v>
      </c>
      <c r="H119" s="12"/>
      <c r="I119" s="12" t="s">
        <v>10</v>
      </c>
      <c r="J119" s="12" t="s">
        <v>19</v>
      </c>
      <c r="K119" s="132" t="s">
        <v>21</v>
      </c>
      <c r="L119" s="133"/>
    </row>
    <row r="120" spans="1:12">
      <c r="A120" s="15" t="s">
        <v>73</v>
      </c>
      <c r="B120" s="10">
        <v>31</v>
      </c>
      <c r="C120" s="10"/>
      <c r="D120" s="9">
        <v>1</v>
      </c>
      <c r="E120" s="65">
        <v>25</v>
      </c>
      <c r="F120" s="10"/>
      <c r="G120" s="10"/>
      <c r="H120" s="10"/>
      <c r="I120" s="10"/>
      <c r="J120" s="10"/>
      <c r="K120" s="64"/>
      <c r="L120" s="62"/>
    </row>
    <row r="121" spans="1:12">
      <c r="A121" s="15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62"/>
    </row>
    <row r="122" spans="1:12">
      <c r="A122" s="15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62"/>
    </row>
    <row r="123" spans="1:12">
      <c r="A123" s="15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62"/>
    </row>
    <row r="124" spans="1:12">
      <c r="A124" s="15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62"/>
    </row>
    <row r="125" spans="1:12">
      <c r="A125" s="15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62"/>
    </row>
    <row r="126" spans="1:12">
      <c r="A126" s="15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62"/>
    </row>
    <row r="127" spans="1:12">
      <c r="A127" s="15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62"/>
    </row>
    <row r="128" spans="1:12" ht="18" thickBot="1">
      <c r="A128" s="16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63"/>
    </row>
  </sheetData>
  <mergeCells count="60">
    <mergeCell ref="A94:H94"/>
    <mergeCell ref="I94:J94"/>
    <mergeCell ref="K94:L94"/>
    <mergeCell ref="E95:F95"/>
    <mergeCell ref="K95:L95"/>
    <mergeCell ref="A82:H82"/>
    <mergeCell ref="I82:J82"/>
    <mergeCell ref="K82:L82"/>
    <mergeCell ref="E83:F83"/>
    <mergeCell ref="K83:L83"/>
    <mergeCell ref="A70:H70"/>
    <mergeCell ref="I70:J70"/>
    <mergeCell ref="K70:L70"/>
    <mergeCell ref="E71:F71"/>
    <mergeCell ref="K71:L71"/>
    <mergeCell ref="A58:H58"/>
    <mergeCell ref="I58:J58"/>
    <mergeCell ref="K58:L58"/>
    <mergeCell ref="E59:F59"/>
    <mergeCell ref="K59:L59"/>
    <mergeCell ref="A46:H46"/>
    <mergeCell ref="I46:J46"/>
    <mergeCell ref="K46:L46"/>
    <mergeCell ref="E47:F47"/>
    <mergeCell ref="K47:L47"/>
    <mergeCell ref="E4:F4"/>
    <mergeCell ref="K4:L4"/>
    <mergeCell ref="A1:L1"/>
    <mergeCell ref="A13:L13"/>
    <mergeCell ref="A3:L3"/>
    <mergeCell ref="I2:J2"/>
    <mergeCell ref="K2:L2"/>
    <mergeCell ref="A2:H2"/>
    <mergeCell ref="E5:F5"/>
    <mergeCell ref="E6:F6"/>
    <mergeCell ref="A14:H14"/>
    <mergeCell ref="I14:J14"/>
    <mergeCell ref="K14:L14"/>
    <mergeCell ref="E35:F35"/>
    <mergeCell ref="K35:L35"/>
    <mergeCell ref="E15:F15"/>
    <mergeCell ref="K15:L15"/>
    <mergeCell ref="E25:F25"/>
    <mergeCell ref="K25:L25"/>
    <mergeCell ref="A24:H24"/>
    <mergeCell ref="I24:J24"/>
    <mergeCell ref="K24:L24"/>
    <mergeCell ref="A34:H34"/>
    <mergeCell ref="I34:J34"/>
    <mergeCell ref="K34:L34"/>
    <mergeCell ref="A106:H106"/>
    <mergeCell ref="I106:J106"/>
    <mergeCell ref="K106:L106"/>
    <mergeCell ref="E107:F107"/>
    <mergeCell ref="K107:L107"/>
    <mergeCell ref="A118:H118"/>
    <mergeCell ref="I118:J118"/>
    <mergeCell ref="K118:L118"/>
    <mergeCell ref="E119:F119"/>
    <mergeCell ref="K119:L119"/>
  </mergeCells>
  <phoneticPr fontId="4" type="noConversion"/>
  <printOptions horizontalCentered="1" verticalCentered="1"/>
  <pageMargins left="0.05" right="0.05" top="0.55000000000000004" bottom="0.55000000000000004" header="0" footer="0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selection activeCell="A4" sqref="A4:D4"/>
    </sheetView>
  </sheetViews>
  <sheetFormatPr baseColWidth="10" defaultColWidth="10.875" defaultRowHeight="18.75"/>
  <cols>
    <col min="1" max="1" width="37.625" style="1" customWidth="1"/>
    <col min="2" max="2" width="22.875" style="1" customWidth="1"/>
    <col min="3" max="3" width="1.125" style="1" customWidth="1"/>
    <col min="4" max="4" width="22.875" style="1" customWidth="1"/>
    <col min="5" max="16384" width="10.875" style="1"/>
  </cols>
  <sheetData>
    <row r="1" spans="1:4">
      <c r="A1" s="150" t="s">
        <v>105</v>
      </c>
      <c r="B1" s="150"/>
      <c r="C1" s="150"/>
      <c r="D1" s="150"/>
    </row>
    <row r="2" spans="1:4">
      <c r="A2" s="151" t="s">
        <v>23</v>
      </c>
      <c r="B2" s="151"/>
      <c r="C2" s="151"/>
      <c r="D2" s="151"/>
    </row>
    <row r="3" spans="1:4">
      <c r="A3" s="151" t="s">
        <v>106</v>
      </c>
      <c r="B3" s="151"/>
      <c r="C3" s="151"/>
      <c r="D3" s="151"/>
    </row>
    <row r="4" spans="1:4">
      <c r="A4" s="151" t="s">
        <v>24</v>
      </c>
      <c r="B4" s="151"/>
      <c r="C4" s="151"/>
      <c r="D4" s="151"/>
    </row>
    <row r="5" spans="1:4">
      <c r="A5" s="152"/>
      <c r="B5" s="152"/>
      <c r="C5" s="152"/>
      <c r="D5" s="152"/>
    </row>
    <row r="6" spans="1:4" s="8" customFormat="1">
      <c r="A6" s="20" t="s">
        <v>25</v>
      </c>
      <c r="B6" s="21" t="s">
        <v>4</v>
      </c>
      <c r="C6" s="148"/>
      <c r="D6" s="22" t="s">
        <v>5</v>
      </c>
    </row>
    <row r="7" spans="1:4">
      <c r="A7" s="18" t="s">
        <v>107</v>
      </c>
      <c r="B7" s="41">
        <v>50000</v>
      </c>
      <c r="C7" s="149"/>
      <c r="D7" s="19"/>
    </row>
    <row r="8" spans="1:4">
      <c r="A8" s="18" t="s">
        <v>88</v>
      </c>
      <c r="B8" s="41">
        <v>175</v>
      </c>
      <c r="C8" s="149"/>
      <c r="D8" s="19"/>
    </row>
    <row r="9" spans="1:4" ht="19.5" thickBot="1">
      <c r="A9" s="18" t="s">
        <v>77</v>
      </c>
      <c r="B9" s="86">
        <f>DIARIO!H17</f>
        <v>61800</v>
      </c>
      <c r="C9" s="149"/>
      <c r="D9" s="19"/>
    </row>
    <row r="10" spans="1:4" ht="19.5" thickTop="1">
      <c r="A10" s="18" t="s">
        <v>101</v>
      </c>
      <c r="B10" s="42">
        <v>2500</v>
      </c>
      <c r="C10" s="149"/>
      <c r="D10" s="19"/>
    </row>
    <row r="11" spans="1:4">
      <c r="A11" s="18" t="s">
        <v>83</v>
      </c>
      <c r="B11" s="41">
        <v>40000</v>
      </c>
      <c r="C11" s="149"/>
      <c r="D11" s="19"/>
    </row>
    <row r="12" spans="1:4">
      <c r="A12" s="18" t="s">
        <v>102</v>
      </c>
      <c r="B12" s="2">
        <v>1200</v>
      </c>
      <c r="C12" s="149"/>
      <c r="D12" s="43"/>
    </row>
    <row r="13" spans="1:4">
      <c r="A13" s="18" t="s">
        <v>80</v>
      </c>
      <c r="B13" s="2"/>
      <c r="C13" s="149"/>
      <c r="D13" s="43">
        <v>800</v>
      </c>
    </row>
    <row r="14" spans="1:4">
      <c r="A14" s="18" t="s">
        <v>108</v>
      </c>
      <c r="B14" s="2"/>
      <c r="C14" s="149"/>
      <c r="D14" s="43">
        <v>150000</v>
      </c>
    </row>
    <row r="15" spans="1:4">
      <c r="A15" s="18" t="s">
        <v>109</v>
      </c>
      <c r="B15" s="2"/>
      <c r="C15" s="149"/>
      <c r="D15" s="19">
        <v>7100</v>
      </c>
    </row>
    <row r="16" spans="1:4">
      <c r="A16" s="18" t="s">
        <v>110</v>
      </c>
      <c r="B16" s="42">
        <v>2200</v>
      </c>
      <c r="C16" s="37"/>
      <c r="D16" s="97"/>
    </row>
    <row r="17" spans="1:4">
      <c r="A17" s="18" t="s">
        <v>111</v>
      </c>
      <c r="B17" s="97">
        <v>25</v>
      </c>
      <c r="D17" s="2"/>
    </row>
    <row r="18" spans="1:4" ht="19.5" thickBot="1">
      <c r="A18" s="8" t="s">
        <v>26</v>
      </c>
      <c r="B18" s="98">
        <f>SUM(B7:B17)</f>
        <v>157900</v>
      </c>
      <c r="D18" s="44">
        <f>SUM(D7:D17)</f>
        <v>157900</v>
      </c>
    </row>
    <row r="19" spans="1:4" ht="19.5" thickTop="1"/>
  </sheetData>
  <mergeCells count="6">
    <mergeCell ref="C6:C15"/>
    <mergeCell ref="A1:D1"/>
    <mergeCell ref="A2:D2"/>
    <mergeCell ref="A3:D3"/>
    <mergeCell ref="A4:D4"/>
    <mergeCell ref="A5:D5"/>
  </mergeCells>
  <phoneticPr fontId="4" type="noConversion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C9604-CE69-4E75-9B4A-1FD796F5E46E}">
  <dimension ref="A1:C15"/>
  <sheetViews>
    <sheetView topLeftCell="A7" workbookViewId="0">
      <selection activeCell="A2" sqref="A2:B2"/>
    </sheetView>
  </sheetViews>
  <sheetFormatPr baseColWidth="10" defaultColWidth="10.875" defaultRowHeight="15.75"/>
  <cols>
    <col min="1" max="1" width="13.625" customWidth="1"/>
    <col min="2" max="2" width="100.375" customWidth="1"/>
  </cols>
  <sheetData>
    <row r="1" spans="1:3" ht="18.75">
      <c r="A1" s="153" t="s">
        <v>37</v>
      </c>
      <c r="B1" s="153"/>
      <c r="C1" s="78"/>
    </row>
    <row r="2" spans="1:3" ht="18.75">
      <c r="A2" s="153" t="s">
        <v>47</v>
      </c>
      <c r="B2" s="153"/>
      <c r="C2" s="78"/>
    </row>
    <row r="3" spans="1:3" ht="18.75">
      <c r="A3" s="79"/>
      <c r="B3" s="79"/>
      <c r="C3" s="78"/>
    </row>
    <row r="4" spans="1:3" ht="31.5">
      <c r="A4" s="100" t="s">
        <v>48</v>
      </c>
      <c r="B4" s="100" t="s">
        <v>49</v>
      </c>
    </row>
    <row r="5" spans="1:3" ht="31.5">
      <c r="A5" s="100" t="s">
        <v>50</v>
      </c>
      <c r="B5" s="100" t="s">
        <v>70</v>
      </c>
    </row>
    <row r="6" spans="1:3" ht="31.5">
      <c r="A6" s="77" t="s">
        <v>57</v>
      </c>
      <c r="B6" s="77" t="s">
        <v>58</v>
      </c>
    </row>
    <row r="7" spans="1:3" ht="63">
      <c r="A7" s="100" t="s">
        <v>59</v>
      </c>
      <c r="B7" s="100" t="s">
        <v>60</v>
      </c>
    </row>
    <row r="8" spans="1:3">
      <c r="A8" s="100" t="s">
        <v>61</v>
      </c>
      <c r="B8" s="100" t="s">
        <v>62</v>
      </c>
    </row>
    <row r="9" spans="1:3">
      <c r="A9" s="100" t="s">
        <v>51</v>
      </c>
      <c r="B9" s="100" t="s">
        <v>63</v>
      </c>
    </row>
    <row r="10" spans="1:3" ht="31.5">
      <c r="A10" s="100" t="s">
        <v>64</v>
      </c>
      <c r="B10" s="100" t="s">
        <v>65</v>
      </c>
    </row>
    <row r="11" spans="1:3">
      <c r="A11" s="100" t="s">
        <v>52</v>
      </c>
      <c r="B11" s="100" t="s">
        <v>71</v>
      </c>
    </row>
    <row r="12" spans="1:3" ht="31.5">
      <c r="A12" s="100" t="s">
        <v>53</v>
      </c>
      <c r="B12" s="100" t="s">
        <v>66</v>
      </c>
    </row>
    <row r="13" spans="1:3" ht="31.5">
      <c r="A13" s="100" t="s">
        <v>54</v>
      </c>
      <c r="B13" s="100" t="s">
        <v>67</v>
      </c>
    </row>
    <row r="14" spans="1:3">
      <c r="A14" s="100" t="s">
        <v>55</v>
      </c>
      <c r="B14" s="100" t="s">
        <v>68</v>
      </c>
    </row>
    <row r="15" spans="1:3" ht="31.5">
      <c r="A15" s="100" t="s">
        <v>56</v>
      </c>
      <c r="B15" s="100" t="s">
        <v>69</v>
      </c>
    </row>
  </sheetData>
  <mergeCells count="2">
    <mergeCell ref="A2:B2"/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0E5D-3D52-4C12-9DB0-BD6F16F0AD03}">
  <dimension ref="A1:Y42"/>
  <sheetViews>
    <sheetView tabSelected="1" zoomScale="70" zoomScaleNormal="70" workbookViewId="0">
      <selection activeCell="A7" sqref="A7"/>
    </sheetView>
  </sheetViews>
  <sheetFormatPr baseColWidth="10" defaultColWidth="10.875" defaultRowHeight="24.95" customHeight="1"/>
  <cols>
    <col min="1" max="1" width="13.125" style="24" customWidth="1"/>
    <col min="2" max="2" width="5" style="24" customWidth="1"/>
    <col min="3" max="3" width="37.5" customWidth="1"/>
    <col min="4" max="4" width="6.5" customWidth="1"/>
    <col min="5" max="5" width="17.375" customWidth="1"/>
    <col min="6" max="6" width="18.625" customWidth="1"/>
    <col min="7" max="7" width="10.875" style="27"/>
    <col min="8" max="8" width="14.875" customWidth="1"/>
    <col min="9" max="9" width="18.125" customWidth="1"/>
    <col min="10" max="10" width="5.625" customWidth="1"/>
    <col min="11" max="11" width="4.5" customWidth="1"/>
    <col min="12" max="12" width="5.5" customWidth="1"/>
    <col min="13" max="13" width="14.625" customWidth="1"/>
    <col min="14" max="14" width="21.5" customWidth="1"/>
    <col min="15" max="16" width="6" customWidth="1"/>
    <col min="17" max="17" width="9.125" customWidth="1"/>
    <col min="18" max="18" width="14.5" customWidth="1"/>
    <col min="19" max="19" width="10.875" customWidth="1"/>
    <col min="20" max="21" width="6" customWidth="1"/>
    <col min="22" max="22" width="5.875" customWidth="1"/>
    <col min="24" max="24" width="16.5" customWidth="1"/>
    <col min="25" max="25" width="14.125" customWidth="1"/>
  </cols>
  <sheetData>
    <row r="1" spans="1:25" ht="24.95" customHeight="1">
      <c r="A1" s="114"/>
      <c r="B1" s="115"/>
      <c r="C1" s="115"/>
      <c r="D1" s="115"/>
      <c r="E1" s="116"/>
      <c r="F1" s="69"/>
      <c r="H1" s="112" t="s">
        <v>1</v>
      </c>
      <c r="I1" s="112"/>
      <c r="J1" s="154">
        <v>300</v>
      </c>
      <c r="K1" s="4"/>
      <c r="M1" s="112" t="s">
        <v>113</v>
      </c>
      <c r="N1" s="112"/>
      <c r="O1" s="99">
        <v>102</v>
      </c>
      <c r="P1" s="4"/>
      <c r="Q1" s="112" t="s">
        <v>100</v>
      </c>
      <c r="R1" s="112"/>
      <c r="S1" s="99">
        <v>101</v>
      </c>
      <c r="T1" s="4"/>
      <c r="U1" s="4"/>
      <c r="X1" s="4" t="s">
        <v>2</v>
      </c>
      <c r="Y1" s="34" t="s">
        <v>3</v>
      </c>
    </row>
    <row r="2" spans="1:25" ht="24.95" customHeight="1">
      <c r="A2" s="117"/>
      <c r="B2" s="118"/>
      <c r="C2" s="118"/>
      <c r="D2" s="118"/>
      <c r="E2" s="118"/>
      <c r="F2" s="118"/>
      <c r="H2" s="48" t="s">
        <v>4</v>
      </c>
      <c r="I2" s="48" t="s">
        <v>5</v>
      </c>
      <c r="J2" s="4"/>
      <c r="K2" s="4"/>
      <c r="L2" s="24"/>
      <c r="M2" s="48" t="s">
        <v>4</v>
      </c>
      <c r="N2" s="48" t="s">
        <v>5</v>
      </c>
      <c r="O2" s="4"/>
      <c r="P2" s="4"/>
      <c r="Q2" s="48" t="s">
        <v>4</v>
      </c>
      <c r="R2" s="48" t="s">
        <v>5</v>
      </c>
      <c r="S2" s="4"/>
      <c r="T2" s="4"/>
      <c r="U2" s="4"/>
      <c r="W2" s="34" t="s">
        <v>6</v>
      </c>
    </row>
    <row r="3" spans="1:25" ht="24.95" customHeight="1">
      <c r="A3" s="119"/>
      <c r="B3" s="113"/>
      <c r="C3" s="113"/>
      <c r="D3" s="113"/>
      <c r="E3" s="113"/>
      <c r="F3" s="113"/>
      <c r="H3" s="49"/>
      <c r="I3" s="49">
        <v>100000</v>
      </c>
      <c r="J3">
        <v>1</v>
      </c>
      <c r="K3" s="23"/>
      <c r="L3" s="24">
        <v>1</v>
      </c>
      <c r="M3" s="23">
        <v>100000</v>
      </c>
      <c r="N3" s="23">
        <v>200</v>
      </c>
      <c r="O3">
        <v>2</v>
      </c>
      <c r="P3" s="27">
        <v>2</v>
      </c>
      <c r="Q3" s="50">
        <v>200</v>
      </c>
      <c r="R3" s="29"/>
      <c r="S3" s="27"/>
      <c r="T3" s="27"/>
      <c r="U3" s="27"/>
      <c r="W3" s="34" t="s">
        <v>7</v>
      </c>
    </row>
    <row r="4" spans="1:25" ht="24.95" customHeight="1">
      <c r="A4" s="120"/>
      <c r="B4" s="121"/>
      <c r="C4" s="121"/>
      <c r="D4" s="121"/>
      <c r="E4" s="121"/>
      <c r="F4" s="121"/>
      <c r="H4" s="51"/>
      <c r="K4" s="23"/>
      <c r="L4">
        <v>5</v>
      </c>
      <c r="M4" s="49">
        <v>3000</v>
      </c>
      <c r="N4" s="57">
        <v>2175</v>
      </c>
      <c r="O4" s="27">
        <v>16</v>
      </c>
      <c r="Q4" s="51"/>
      <c r="V4" s="28"/>
      <c r="W4" s="34" t="s">
        <v>8</v>
      </c>
    </row>
    <row r="5" spans="1:25" s="4" customFormat="1" ht="24.95" customHeight="1">
      <c r="A5" s="122" t="s">
        <v>9</v>
      </c>
      <c r="B5" s="123"/>
      <c r="C5" s="3" t="s">
        <v>10</v>
      </c>
      <c r="D5" s="3" t="s">
        <v>11</v>
      </c>
      <c r="E5" s="3" t="s">
        <v>4</v>
      </c>
      <c r="F5" s="3" t="s">
        <v>5</v>
      </c>
      <c r="G5" s="33"/>
      <c r="H5" s="45"/>
      <c r="I5" s="30"/>
      <c r="J5" s="30"/>
      <c r="K5" s="30"/>
      <c r="L5" s="4">
        <v>13</v>
      </c>
      <c r="M5" s="75">
        <v>2500</v>
      </c>
      <c r="N5" s="30">
        <v>120</v>
      </c>
      <c r="O5" s="4">
        <v>20</v>
      </c>
      <c r="P5" s="30"/>
      <c r="Q5" s="45"/>
      <c r="R5" s="30"/>
      <c r="S5" s="30"/>
      <c r="T5" s="30"/>
      <c r="U5" s="30"/>
      <c r="V5" s="33"/>
    </row>
    <row r="6" spans="1:25" ht="24.95" customHeight="1">
      <c r="A6" s="124">
        <v>2026</v>
      </c>
      <c r="B6" s="125"/>
      <c r="C6" s="66"/>
      <c r="D6" s="66"/>
      <c r="E6" s="66"/>
      <c r="F6" s="66"/>
      <c r="H6" s="51"/>
      <c r="I6" s="52"/>
      <c r="J6" s="57"/>
      <c r="K6" s="57"/>
      <c r="M6" s="105"/>
      <c r="N6" s="106">
        <v>1100</v>
      </c>
      <c r="O6">
        <v>29</v>
      </c>
      <c r="Q6" s="105"/>
      <c r="R6" s="107"/>
      <c r="V6" s="27"/>
      <c r="X6" s="34" t="s">
        <v>12</v>
      </c>
      <c r="Y6" s="4" t="s">
        <v>13</v>
      </c>
    </row>
    <row r="7" spans="1:25" ht="24.95" customHeight="1" thickBot="1">
      <c r="A7" s="3" t="s">
        <v>112</v>
      </c>
      <c r="B7" s="3">
        <v>1</v>
      </c>
      <c r="C7" s="5" t="s">
        <v>77</v>
      </c>
      <c r="D7" s="5"/>
      <c r="E7" s="35">
        <v>100000</v>
      </c>
      <c r="F7" s="5"/>
      <c r="H7" s="23"/>
      <c r="I7" s="163">
        <v>100000</v>
      </c>
      <c r="J7" s="23"/>
      <c r="K7" s="23"/>
      <c r="M7" s="53">
        <f>(M3+M4+M5)-(N3+N4+N5+N6)</f>
        <v>101905</v>
      </c>
      <c r="N7" s="70"/>
      <c r="Q7" s="108">
        <f>Q3</f>
        <v>200</v>
      </c>
      <c r="V7" s="27"/>
      <c r="W7" s="34" t="s">
        <v>14</v>
      </c>
    </row>
    <row r="8" spans="1:25" ht="24.95" customHeight="1" thickTop="1">
      <c r="A8" s="25"/>
      <c r="B8" s="25"/>
      <c r="C8" s="5" t="s">
        <v>149</v>
      </c>
      <c r="D8" s="5"/>
      <c r="E8" s="5"/>
      <c r="F8" s="35">
        <v>100000</v>
      </c>
      <c r="H8" s="70"/>
      <c r="V8" s="27"/>
      <c r="W8" s="34" t="s">
        <v>1</v>
      </c>
    </row>
    <row r="9" spans="1:25" ht="29.25" customHeight="1">
      <c r="A9" s="3"/>
      <c r="B9" s="3"/>
      <c r="C9" s="26" t="s">
        <v>114</v>
      </c>
      <c r="D9" s="5"/>
      <c r="E9" s="5"/>
      <c r="F9" s="5"/>
      <c r="W9" s="34" t="s">
        <v>15</v>
      </c>
    </row>
    <row r="10" spans="1:25" ht="24.95" customHeight="1">
      <c r="A10" s="3"/>
      <c r="B10" s="3">
        <v>2</v>
      </c>
      <c r="C10" s="5" t="s">
        <v>100</v>
      </c>
      <c r="D10" s="5"/>
      <c r="E10" s="35">
        <v>200</v>
      </c>
      <c r="F10" s="5"/>
      <c r="W10" s="34"/>
    </row>
    <row r="11" spans="1:25" ht="24.95" customHeight="1">
      <c r="A11" s="25"/>
      <c r="B11" s="25"/>
      <c r="C11" s="5" t="s">
        <v>115</v>
      </c>
      <c r="D11" s="5"/>
      <c r="E11" s="5"/>
      <c r="F11" s="35">
        <v>200</v>
      </c>
      <c r="G11" s="36"/>
      <c r="H11" s="112" t="s">
        <v>124</v>
      </c>
      <c r="I11" s="112"/>
      <c r="J11" s="154">
        <v>400</v>
      </c>
      <c r="K11" s="4"/>
      <c r="M11" s="112" t="s">
        <v>43</v>
      </c>
      <c r="N11" s="112"/>
      <c r="O11" s="99">
        <v>110</v>
      </c>
      <c r="P11" s="4"/>
      <c r="Q11" s="112" t="s">
        <v>122</v>
      </c>
      <c r="R11" s="112"/>
      <c r="S11" s="154">
        <v>600</v>
      </c>
      <c r="T11" s="4"/>
      <c r="U11" s="4"/>
      <c r="W11" s="113"/>
      <c r="X11" s="113"/>
      <c r="Y11" s="47"/>
    </row>
    <row r="12" spans="1:25" ht="26.25" customHeight="1">
      <c r="A12" s="25"/>
      <c r="B12" s="25"/>
      <c r="C12" s="26" t="s">
        <v>116</v>
      </c>
      <c r="D12" s="5"/>
      <c r="E12" s="5"/>
      <c r="F12" s="5"/>
      <c r="H12" s="48" t="s">
        <v>4</v>
      </c>
      <c r="I12" s="48" t="s">
        <v>5</v>
      </c>
      <c r="J12" s="4"/>
      <c r="K12" s="4"/>
      <c r="L12" s="24"/>
      <c r="M12" s="48" t="s">
        <v>4</v>
      </c>
      <c r="N12" s="48" t="s">
        <v>5</v>
      </c>
      <c r="O12" s="24"/>
      <c r="P12" s="24"/>
      <c r="Q12" s="48" t="s">
        <v>4</v>
      </c>
      <c r="R12" s="48" t="s">
        <v>5</v>
      </c>
      <c r="S12" s="24"/>
      <c r="T12" s="24"/>
      <c r="U12" s="24"/>
      <c r="W12" s="4"/>
      <c r="X12" s="4"/>
    </row>
    <row r="13" spans="1:25" ht="34.5" customHeight="1">
      <c r="A13" s="25"/>
      <c r="B13" s="73">
        <v>5</v>
      </c>
      <c r="C13" s="26" t="s">
        <v>77</v>
      </c>
      <c r="D13" s="5"/>
      <c r="E13" s="5">
        <v>3000</v>
      </c>
      <c r="F13" s="5"/>
      <c r="H13" s="51"/>
      <c r="I13" s="23">
        <v>3000</v>
      </c>
      <c r="J13">
        <v>5</v>
      </c>
      <c r="K13" s="23"/>
      <c r="L13" s="24">
        <v>12</v>
      </c>
      <c r="M13" s="54">
        <v>2500</v>
      </c>
      <c r="O13" s="24"/>
      <c r="P13" s="27">
        <v>16</v>
      </c>
      <c r="Q13" s="29">
        <v>1200</v>
      </c>
      <c r="R13" s="23"/>
      <c r="S13" s="24"/>
      <c r="T13" s="24"/>
      <c r="U13" s="24"/>
      <c r="V13" s="24"/>
      <c r="W13" s="57"/>
      <c r="X13" s="81"/>
    </row>
    <row r="14" spans="1:25" ht="15.75">
      <c r="A14" s="25"/>
      <c r="B14" s="25"/>
      <c r="C14" s="26" t="s">
        <v>121</v>
      </c>
      <c r="D14" s="5"/>
      <c r="E14" s="5"/>
      <c r="F14" s="5">
        <v>3000</v>
      </c>
      <c r="H14" s="54"/>
      <c r="I14" s="29">
        <v>2500</v>
      </c>
      <c r="J14">
        <v>12</v>
      </c>
      <c r="K14" s="23"/>
      <c r="M14" s="105"/>
      <c r="N14" s="52">
        <v>1200</v>
      </c>
      <c r="O14">
        <v>18</v>
      </c>
      <c r="Q14" s="29"/>
      <c r="R14" s="29"/>
      <c r="V14" s="27"/>
    </row>
    <row r="15" spans="1:25" ht="34.5" customHeight="1" thickBot="1">
      <c r="A15" s="25"/>
      <c r="B15" s="25"/>
      <c r="C15" s="26" t="s">
        <v>120</v>
      </c>
      <c r="D15" s="5"/>
      <c r="E15" s="5"/>
      <c r="F15" s="5"/>
      <c r="H15" s="55"/>
      <c r="I15" s="46">
        <f>125*20</f>
        <v>2500</v>
      </c>
      <c r="J15" s="4">
        <v>13</v>
      </c>
      <c r="K15" s="4"/>
      <c r="L15" s="4"/>
      <c r="M15" s="56">
        <f>M13-N14</f>
        <v>1300</v>
      </c>
      <c r="N15" s="4"/>
      <c r="O15" s="4"/>
      <c r="P15" s="4"/>
      <c r="Q15" s="101"/>
      <c r="R15" s="102"/>
      <c r="S15" s="4"/>
      <c r="T15" s="4"/>
      <c r="U15" s="4"/>
      <c r="W15" s="82"/>
      <c r="X15" s="4"/>
    </row>
    <row r="16" spans="1:25" ht="40.5" customHeight="1" thickTop="1" thickBot="1">
      <c r="A16" s="25"/>
      <c r="B16" s="73">
        <v>12</v>
      </c>
      <c r="C16" s="74" t="s">
        <v>118</v>
      </c>
      <c r="D16" s="5"/>
      <c r="E16" s="35">
        <v>2500</v>
      </c>
      <c r="F16" s="5"/>
      <c r="H16" s="57"/>
      <c r="I16" s="109">
        <f>I13+I14+I15</f>
        <v>8000</v>
      </c>
      <c r="J16" s="23"/>
      <c r="K16" s="23"/>
      <c r="Q16" s="108">
        <f>Q13</f>
        <v>1200</v>
      </c>
      <c r="R16" s="23"/>
    </row>
    <row r="17" spans="1:23" ht="16.5" thickTop="1">
      <c r="A17" s="25"/>
      <c r="B17" s="25"/>
      <c r="C17" s="26" t="s">
        <v>117</v>
      </c>
      <c r="D17" s="5"/>
      <c r="E17" s="5"/>
      <c r="F17" s="35">
        <v>2500</v>
      </c>
      <c r="I17" s="70"/>
      <c r="J17" s="70"/>
      <c r="K17" s="70"/>
      <c r="R17" s="70"/>
    </row>
    <row r="18" spans="1:23" ht="33" customHeight="1">
      <c r="A18" s="25"/>
      <c r="B18" s="25"/>
      <c r="C18" s="26" t="s">
        <v>119</v>
      </c>
      <c r="D18" s="5"/>
      <c r="E18" s="5"/>
      <c r="F18" s="5"/>
    </row>
    <row r="19" spans="1:23" ht="28.5" customHeight="1">
      <c r="A19" s="25"/>
      <c r="B19" s="25">
        <v>13</v>
      </c>
      <c r="C19" s="26" t="s">
        <v>77</v>
      </c>
      <c r="D19" s="5"/>
      <c r="E19" s="35">
        <v>2500</v>
      </c>
      <c r="F19" s="5"/>
      <c r="G19" s="28"/>
      <c r="H19" s="112" t="s">
        <v>126</v>
      </c>
      <c r="I19" s="112"/>
      <c r="J19" s="154">
        <v>603</v>
      </c>
      <c r="K19" s="4"/>
      <c r="M19" s="112" t="s">
        <v>127</v>
      </c>
      <c r="N19" s="112"/>
      <c r="O19" s="99">
        <v>601</v>
      </c>
      <c r="Q19" s="112" t="s">
        <v>131</v>
      </c>
      <c r="R19" s="112"/>
      <c r="S19" s="154">
        <v>200</v>
      </c>
    </row>
    <row r="20" spans="1:23" ht="35.25" customHeight="1">
      <c r="A20" s="25"/>
      <c r="B20" s="25"/>
      <c r="C20" s="74" t="s">
        <v>117</v>
      </c>
      <c r="D20" s="5"/>
      <c r="E20" s="31"/>
      <c r="F20" s="35">
        <v>2500</v>
      </c>
      <c r="H20" s="48" t="s">
        <v>4</v>
      </c>
      <c r="I20" s="48" t="s">
        <v>5</v>
      </c>
      <c r="J20" s="4"/>
      <c r="K20" s="4"/>
      <c r="M20" s="48" t="s">
        <v>4</v>
      </c>
      <c r="N20" s="48" t="s">
        <v>5</v>
      </c>
      <c r="Q20" s="48" t="s">
        <v>4</v>
      </c>
      <c r="R20" s="48" t="s">
        <v>5</v>
      </c>
      <c r="W20" s="23"/>
    </row>
    <row r="21" spans="1:23" ht="30.75" customHeight="1">
      <c r="A21" s="25"/>
      <c r="B21" s="25"/>
      <c r="C21" s="26" t="s">
        <v>125</v>
      </c>
      <c r="D21" s="5"/>
      <c r="E21" s="5"/>
      <c r="F21" s="5"/>
      <c r="G21" s="27">
        <v>16</v>
      </c>
      <c r="H21" s="23">
        <v>75</v>
      </c>
      <c r="I21" s="23"/>
      <c r="J21" s="23"/>
      <c r="K21" s="23"/>
      <c r="L21" s="27">
        <v>16</v>
      </c>
      <c r="M21" s="29">
        <v>900</v>
      </c>
      <c r="N21" s="23"/>
      <c r="P21">
        <v>20</v>
      </c>
      <c r="Q21" s="54">
        <v>120</v>
      </c>
      <c r="R21" s="23">
        <v>120</v>
      </c>
      <c r="S21">
        <v>17</v>
      </c>
    </row>
    <row r="22" spans="1:23" ht="24.95" customHeight="1">
      <c r="A22" s="25"/>
      <c r="B22" s="25">
        <v>16</v>
      </c>
      <c r="C22" s="74" t="s">
        <v>94</v>
      </c>
      <c r="D22" s="5"/>
      <c r="E22" s="35">
        <v>1200</v>
      </c>
      <c r="F22" s="5"/>
      <c r="H22" s="29"/>
      <c r="M22" s="29"/>
      <c r="N22" s="23"/>
      <c r="Q22" s="54"/>
      <c r="R22" s="29"/>
    </row>
    <row r="23" spans="1:23" ht="30.75" customHeight="1">
      <c r="A23" s="25"/>
      <c r="B23" s="25"/>
      <c r="C23" s="5" t="s">
        <v>128</v>
      </c>
      <c r="D23" s="5"/>
      <c r="E23" s="71">
        <v>900</v>
      </c>
      <c r="F23" s="35"/>
      <c r="H23" s="110"/>
      <c r="I23" s="46"/>
      <c r="J23" s="4"/>
      <c r="K23" s="4"/>
      <c r="M23" s="110"/>
      <c r="N23" s="111"/>
      <c r="Q23" s="55"/>
      <c r="R23" s="46"/>
    </row>
    <row r="24" spans="1:23" ht="54" customHeight="1" thickBot="1">
      <c r="A24" s="25"/>
      <c r="B24" s="25"/>
      <c r="C24" s="5" t="s">
        <v>129</v>
      </c>
      <c r="D24" s="5"/>
      <c r="E24" s="71">
        <v>75</v>
      </c>
      <c r="F24" s="35"/>
      <c r="H24" s="53">
        <f>H21</f>
        <v>75</v>
      </c>
      <c r="M24" s="53">
        <f>M21</f>
        <v>900</v>
      </c>
      <c r="Q24" s="108">
        <f>0</f>
        <v>0</v>
      </c>
      <c r="R24" s="23"/>
    </row>
    <row r="25" spans="1:23" ht="16.5" thickTop="1">
      <c r="A25" s="25"/>
      <c r="B25" s="25"/>
      <c r="C25" s="5" t="s">
        <v>115</v>
      </c>
      <c r="D25" s="5"/>
      <c r="E25" s="71"/>
      <c r="F25" s="71">
        <v>2175</v>
      </c>
      <c r="H25" s="70"/>
      <c r="M25" s="70"/>
      <c r="P25" s="4"/>
      <c r="R25" s="70"/>
      <c r="S25" s="4"/>
      <c r="T25" s="4"/>
      <c r="U25" s="4"/>
    </row>
    <row r="26" spans="1:23" ht="36" customHeight="1">
      <c r="A26" s="25"/>
      <c r="B26" s="25"/>
      <c r="C26" s="26" t="s">
        <v>145</v>
      </c>
      <c r="D26" s="5"/>
      <c r="E26" s="5"/>
      <c r="F26" s="35"/>
      <c r="H26" s="112" t="s">
        <v>132</v>
      </c>
      <c r="I26" s="112"/>
      <c r="J26" s="154">
        <v>602</v>
      </c>
      <c r="K26" s="4"/>
      <c r="M26" s="112" t="s">
        <v>137</v>
      </c>
      <c r="N26" s="112"/>
      <c r="O26" s="99">
        <v>100</v>
      </c>
      <c r="P26" s="24"/>
      <c r="Q26" s="24"/>
      <c r="R26" s="24"/>
      <c r="S26" s="24"/>
      <c r="T26" s="24"/>
      <c r="U26" s="24"/>
      <c r="W26" s="23"/>
    </row>
    <row r="27" spans="1:23" ht="34.5" customHeight="1">
      <c r="A27" s="25"/>
      <c r="B27" s="25">
        <v>17</v>
      </c>
      <c r="C27" s="26" t="s">
        <v>130</v>
      </c>
      <c r="D27" s="5"/>
      <c r="E27" s="71">
        <v>120</v>
      </c>
      <c r="F27" s="71"/>
      <c r="H27" s="48" t="s">
        <v>4</v>
      </c>
      <c r="I27" s="48" t="s">
        <v>5</v>
      </c>
      <c r="J27" s="4"/>
      <c r="K27" s="4"/>
      <c r="L27" s="24"/>
      <c r="M27" s="48" t="s">
        <v>4</v>
      </c>
      <c r="N27" s="48" t="s">
        <v>5</v>
      </c>
      <c r="O27" s="24"/>
      <c r="W27" s="23"/>
    </row>
    <row r="28" spans="1:23" ht="21" customHeight="1">
      <c r="A28" s="25"/>
      <c r="B28" s="25"/>
      <c r="C28" s="26" t="s">
        <v>133</v>
      </c>
      <c r="D28" s="5"/>
      <c r="E28" s="71"/>
      <c r="F28" s="71">
        <v>120</v>
      </c>
      <c r="G28" s="27">
        <v>17</v>
      </c>
      <c r="H28" s="29">
        <v>120</v>
      </c>
      <c r="I28" s="23"/>
      <c r="J28" s="23"/>
      <c r="K28" s="23"/>
      <c r="L28" s="24">
        <v>18</v>
      </c>
      <c r="M28" s="57">
        <v>1200</v>
      </c>
      <c r="N28" s="23"/>
      <c r="V28" s="83"/>
      <c r="W28" s="23"/>
    </row>
    <row r="29" spans="1:23" ht="24.95" customHeight="1">
      <c r="A29" s="25"/>
      <c r="B29" s="25"/>
      <c r="C29" s="74" t="s">
        <v>138</v>
      </c>
      <c r="D29" s="5"/>
      <c r="E29" s="5"/>
      <c r="F29" s="35"/>
      <c r="H29" s="51"/>
      <c r="M29" s="51"/>
      <c r="P29" s="4"/>
      <c r="Q29" s="4"/>
      <c r="R29" s="4"/>
      <c r="S29" s="4"/>
      <c r="T29" s="4"/>
      <c r="U29" s="4"/>
      <c r="V29" s="4"/>
    </row>
    <row r="30" spans="1:23" ht="46.5" customHeight="1">
      <c r="A30" s="25"/>
      <c r="B30" s="25">
        <v>18</v>
      </c>
      <c r="C30" s="103" t="s">
        <v>135</v>
      </c>
      <c r="D30" s="5"/>
      <c r="E30" s="71">
        <v>1200</v>
      </c>
      <c r="F30" s="71"/>
      <c r="H30" s="45"/>
      <c r="I30" s="4"/>
      <c r="J30" s="4"/>
      <c r="K30" s="4"/>
      <c r="L30" s="4"/>
      <c r="M30" s="45"/>
      <c r="N30" s="4"/>
      <c r="O30" s="4"/>
    </row>
    <row r="31" spans="1:23" ht="24.95" customHeight="1" thickBot="1">
      <c r="A31" s="25"/>
      <c r="B31" s="25"/>
      <c r="C31" s="5" t="s">
        <v>136</v>
      </c>
      <c r="D31" s="5"/>
      <c r="E31" s="71"/>
      <c r="F31" s="71">
        <v>1200</v>
      </c>
      <c r="H31" s="53">
        <f>H28</f>
        <v>120</v>
      </c>
      <c r="M31" s="108">
        <f>M28</f>
        <v>1200</v>
      </c>
      <c r="N31" s="70"/>
      <c r="P31" s="4"/>
      <c r="Q31" s="4"/>
      <c r="R31" s="4"/>
      <c r="S31" s="4"/>
      <c r="T31" s="4"/>
      <c r="U31" s="4"/>
    </row>
    <row r="32" spans="1:23" ht="24.95" customHeight="1" thickTop="1">
      <c r="A32" s="25"/>
      <c r="B32" s="25"/>
      <c r="C32" s="32" t="s">
        <v>134</v>
      </c>
      <c r="D32" s="5"/>
      <c r="E32" s="35"/>
      <c r="F32" s="5"/>
      <c r="H32" s="113"/>
      <c r="I32" s="113"/>
      <c r="J32" s="4"/>
      <c r="K32" s="4"/>
      <c r="M32" s="113"/>
      <c r="N32" s="113"/>
      <c r="O32" s="4"/>
      <c r="P32" s="24"/>
      <c r="Q32" s="24"/>
      <c r="R32" s="24"/>
      <c r="S32" s="24"/>
      <c r="T32" s="24"/>
      <c r="U32" s="24"/>
    </row>
    <row r="33" spans="1:21" ht="24.95" customHeight="1">
      <c r="A33" s="25"/>
      <c r="B33" s="25">
        <v>20</v>
      </c>
      <c r="C33" s="5" t="s">
        <v>80</v>
      </c>
      <c r="D33" s="5"/>
      <c r="E33" s="71">
        <v>120</v>
      </c>
      <c r="F33" s="71"/>
      <c r="H33" s="24"/>
      <c r="I33" s="24"/>
      <c r="J33" s="24"/>
      <c r="K33" s="24"/>
      <c r="L33" s="24"/>
      <c r="M33" s="24"/>
      <c r="N33" s="24"/>
      <c r="O33" s="24"/>
      <c r="P33" s="23"/>
      <c r="Q33" s="23"/>
      <c r="R33" s="23"/>
      <c r="S33" s="23"/>
      <c r="T33" s="23"/>
      <c r="U33" s="23"/>
    </row>
    <row r="34" spans="1:21" ht="24.95" customHeight="1">
      <c r="A34" s="25"/>
      <c r="B34" s="25"/>
      <c r="C34" s="5" t="s">
        <v>115</v>
      </c>
      <c r="D34" s="5"/>
      <c r="E34" s="71"/>
      <c r="F34" s="71">
        <v>120</v>
      </c>
      <c r="H34" s="112" t="s">
        <v>142</v>
      </c>
      <c r="I34" s="112"/>
      <c r="J34" s="154">
        <v>301</v>
      </c>
      <c r="K34" s="4"/>
      <c r="M34" s="112"/>
      <c r="N34" s="112"/>
      <c r="O34" s="23"/>
    </row>
    <row r="35" spans="1:21" ht="45" customHeight="1">
      <c r="A35" s="25"/>
      <c r="B35" s="25"/>
      <c r="C35" s="32" t="s">
        <v>139</v>
      </c>
      <c r="D35" s="5"/>
      <c r="E35" s="5"/>
      <c r="F35" s="5"/>
      <c r="H35" s="48" t="s">
        <v>4</v>
      </c>
      <c r="I35" s="48" t="s">
        <v>5</v>
      </c>
      <c r="J35" s="4"/>
      <c r="K35" s="4"/>
      <c r="L35" s="24"/>
      <c r="M35" s="48" t="s">
        <v>4</v>
      </c>
      <c r="N35" s="48" t="s">
        <v>5</v>
      </c>
      <c r="P35" s="4"/>
      <c r="Q35" s="4"/>
      <c r="R35" s="4"/>
      <c r="S35" s="4"/>
      <c r="T35" s="4"/>
      <c r="U35" s="4"/>
    </row>
    <row r="36" spans="1:21" ht="24.95" customHeight="1">
      <c r="A36" s="25"/>
      <c r="B36" s="25">
        <v>29</v>
      </c>
      <c r="C36" s="5" t="s">
        <v>140</v>
      </c>
      <c r="D36" s="5"/>
      <c r="E36" s="71">
        <v>1100</v>
      </c>
      <c r="F36" s="71"/>
      <c r="G36">
        <v>29</v>
      </c>
      <c r="H36" s="29">
        <v>1100</v>
      </c>
      <c r="I36" s="23"/>
      <c r="J36" s="23"/>
      <c r="K36" s="23"/>
      <c r="L36" s="24"/>
      <c r="M36" s="29"/>
      <c r="N36" s="23"/>
      <c r="O36" s="4"/>
    </row>
    <row r="37" spans="1:21" ht="24.95" customHeight="1">
      <c r="A37" s="25"/>
      <c r="B37" s="25"/>
      <c r="C37" s="5" t="s">
        <v>115</v>
      </c>
      <c r="D37" s="5"/>
      <c r="E37" s="71"/>
      <c r="F37" s="71">
        <v>1100</v>
      </c>
      <c r="H37" s="51"/>
      <c r="M37" s="51"/>
    </row>
    <row r="38" spans="1:21" ht="24.95" customHeight="1">
      <c r="A38" s="25"/>
      <c r="B38" s="25"/>
      <c r="C38" s="104" t="s">
        <v>141</v>
      </c>
      <c r="D38" s="5"/>
      <c r="E38" s="35"/>
      <c r="F38" s="35"/>
      <c r="H38" s="45"/>
      <c r="I38" s="4"/>
      <c r="J38" s="4"/>
      <c r="K38" s="4"/>
      <c r="L38" s="4"/>
      <c r="M38" s="45"/>
      <c r="N38" s="4"/>
    </row>
    <row r="39" spans="1:21" ht="24.95" customHeight="1" thickBot="1">
      <c r="A39" s="25"/>
      <c r="B39" s="25">
        <v>30</v>
      </c>
      <c r="C39" s="5" t="s">
        <v>143</v>
      </c>
      <c r="D39" s="5"/>
      <c r="E39" s="25" t="s">
        <v>123</v>
      </c>
      <c r="F39" s="25"/>
      <c r="H39" s="53">
        <f>H36</f>
        <v>1100</v>
      </c>
      <c r="N39" s="53"/>
    </row>
    <row r="40" spans="1:21" ht="24.95" customHeight="1" thickTop="1">
      <c r="A40" s="25"/>
      <c r="B40" s="25"/>
      <c r="C40" s="5" t="s">
        <v>115</v>
      </c>
      <c r="D40" s="5"/>
      <c r="E40" s="25"/>
      <c r="F40" s="25" t="s">
        <v>123</v>
      </c>
      <c r="H40" s="113"/>
      <c r="I40" s="113"/>
      <c r="J40" s="4"/>
      <c r="K40" s="4"/>
      <c r="M40" s="113"/>
      <c r="N40" s="113"/>
    </row>
    <row r="41" spans="1:21" ht="24.95" customHeight="1">
      <c r="A41" s="25"/>
      <c r="B41" s="25"/>
      <c r="C41" s="32" t="s">
        <v>144</v>
      </c>
      <c r="D41" s="5"/>
      <c r="E41" s="5"/>
      <c r="F41" s="5"/>
    </row>
    <row r="42" spans="1:21" ht="24.95" customHeight="1">
      <c r="E42" s="23"/>
      <c r="F42" s="23"/>
    </row>
  </sheetData>
  <mergeCells count="24">
    <mergeCell ref="Q19:R19"/>
    <mergeCell ref="W11:X11"/>
    <mergeCell ref="A1:E1"/>
    <mergeCell ref="H1:I1"/>
    <mergeCell ref="M1:N1"/>
    <mergeCell ref="Q1:R1"/>
    <mergeCell ref="A2:F2"/>
    <mergeCell ref="A3:F3"/>
    <mergeCell ref="A4:F4"/>
    <mergeCell ref="A5:B5"/>
    <mergeCell ref="A6:B6"/>
    <mergeCell ref="H11:I11"/>
    <mergeCell ref="M11:N11"/>
    <mergeCell ref="Q11:R11"/>
    <mergeCell ref="H34:I34"/>
    <mergeCell ref="M34:N34"/>
    <mergeCell ref="H40:I40"/>
    <mergeCell ref="M40:N40"/>
    <mergeCell ref="H19:I19"/>
    <mergeCell ref="M19:N19"/>
    <mergeCell ref="H26:I26"/>
    <mergeCell ref="M26:N26"/>
    <mergeCell ref="H32:I32"/>
    <mergeCell ref="M32:N32"/>
  </mergeCells>
  <printOptions horizontalCentered="1" verticalCentered="1"/>
  <pageMargins left="0.19685039370078741" right="0.19685039370078741" top="0.55000000000000004" bottom="0.55000000000000004" header="0" footer="0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AC49-422B-491E-A1BA-93761A0A78A4}">
  <dimension ref="A1:Q140"/>
  <sheetViews>
    <sheetView workbookViewId="0">
      <selection activeCell="K135" sqref="K135"/>
    </sheetView>
  </sheetViews>
  <sheetFormatPr baseColWidth="10" defaultColWidth="10.875" defaultRowHeight="17.25"/>
  <cols>
    <col min="1" max="1" width="8.375" style="6" customWidth="1"/>
    <col min="2" max="2" width="3.125" style="6" customWidth="1"/>
    <col min="3" max="3" width="19" style="6" customWidth="1"/>
    <col min="4" max="4" width="5" style="6" customWidth="1"/>
    <col min="5" max="5" width="12" style="6" customWidth="1"/>
    <col min="6" max="6" width="4.875" style="6" customWidth="1"/>
    <col min="7" max="7" width="8.375" style="6" customWidth="1"/>
    <col min="8" max="8" width="3.125" style="6" customWidth="1"/>
    <col min="9" max="9" width="17" style="6" customWidth="1"/>
    <col min="10" max="10" width="5" style="6" customWidth="1"/>
    <col min="11" max="11" width="11.125" style="6" bestFit="1" customWidth="1"/>
    <col min="12" max="12" width="5" style="6" customWidth="1"/>
    <col min="13" max="17" width="10.875" style="6"/>
    <col min="18" max="18" width="9.875" style="6" customWidth="1"/>
    <col min="19" max="16384" width="10.875" style="6"/>
  </cols>
  <sheetData>
    <row r="1" spans="1:17" s="8" customFormat="1" ht="18.75">
      <c r="A1" s="130" t="s">
        <v>16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</row>
    <row r="2" spans="1:17" s="8" customFormat="1" ht="18.75">
      <c r="A2" s="130"/>
      <c r="B2" s="130"/>
      <c r="C2" s="130"/>
      <c r="D2" s="130"/>
      <c r="E2" s="130"/>
      <c r="F2" s="130"/>
      <c r="G2" s="130"/>
      <c r="H2" s="130"/>
      <c r="I2" s="118" t="s">
        <v>17</v>
      </c>
      <c r="J2" s="130"/>
      <c r="K2" s="134">
        <v>100</v>
      </c>
      <c r="L2" s="135"/>
      <c r="P2" s="37" t="s">
        <v>18</v>
      </c>
      <c r="Q2" s="39"/>
    </row>
    <row r="3" spans="1:17" ht="19.5" thickBot="1">
      <c r="A3" s="143" t="s">
        <v>146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P3" s="38" t="s">
        <v>14</v>
      </c>
      <c r="Q3" s="39"/>
    </row>
    <row r="4" spans="1:17" s="7" customFormat="1" ht="18.75">
      <c r="A4" s="13" t="s">
        <v>9</v>
      </c>
      <c r="B4" s="14"/>
      <c r="C4" s="14" t="s">
        <v>10</v>
      </c>
      <c r="D4" s="14" t="s">
        <v>19</v>
      </c>
      <c r="E4" s="138" t="s">
        <v>20</v>
      </c>
      <c r="F4" s="138"/>
      <c r="G4" s="14" t="s">
        <v>9</v>
      </c>
      <c r="H4" s="14"/>
      <c r="I4" s="14" t="s">
        <v>10</v>
      </c>
      <c r="J4" s="14" t="s">
        <v>19</v>
      </c>
      <c r="K4" s="138" t="s">
        <v>21</v>
      </c>
      <c r="L4" s="139"/>
      <c r="P4" s="38" t="s">
        <v>1</v>
      </c>
      <c r="Q4" s="39"/>
    </row>
    <row r="5" spans="1:17" s="7" customFormat="1" ht="18.75">
      <c r="A5" s="3" t="s">
        <v>112</v>
      </c>
      <c r="B5" s="9">
        <v>18</v>
      </c>
      <c r="C5" s="9"/>
      <c r="D5" s="9">
        <v>5</v>
      </c>
      <c r="E5" s="58">
        <v>1200</v>
      </c>
      <c r="F5" s="59"/>
      <c r="G5" s="10"/>
      <c r="H5" s="10"/>
      <c r="I5" s="9"/>
      <c r="J5" s="9"/>
      <c r="K5" s="31"/>
      <c r="L5" s="60"/>
      <c r="P5" s="38" t="s">
        <v>15</v>
      </c>
      <c r="Q5" s="39"/>
    </row>
    <row r="6" spans="1:17" ht="18.75">
      <c r="A6" s="15"/>
      <c r="B6" s="10"/>
      <c r="C6" s="10"/>
      <c r="D6" s="10"/>
      <c r="E6" s="10"/>
      <c r="F6" s="10"/>
      <c r="G6" s="10"/>
      <c r="H6" s="10"/>
      <c r="I6" s="10"/>
      <c r="J6" s="9"/>
      <c r="K6" s="61"/>
      <c r="L6" s="60"/>
      <c r="P6" s="38" t="s">
        <v>22</v>
      </c>
      <c r="Q6" s="39"/>
    </row>
    <row r="7" spans="1:17" ht="18.75">
      <c r="A7" s="15"/>
      <c r="B7" s="10"/>
      <c r="C7" s="10"/>
      <c r="D7" s="10"/>
      <c r="E7" s="10"/>
      <c r="F7" s="10"/>
      <c r="G7" s="10"/>
      <c r="H7" s="10"/>
      <c r="I7" s="10"/>
      <c r="J7" s="9"/>
      <c r="K7" s="31"/>
      <c r="L7" s="60"/>
      <c r="P7" s="38" t="s">
        <v>8</v>
      </c>
      <c r="Q7" s="39"/>
    </row>
    <row r="8" spans="1:17">
      <c r="A8" s="15"/>
      <c r="B8" s="10"/>
      <c r="C8" s="10"/>
      <c r="D8" s="10"/>
      <c r="E8" s="10"/>
      <c r="F8" s="10"/>
      <c r="G8" s="10"/>
      <c r="H8" s="10"/>
      <c r="I8" s="10"/>
      <c r="J8" s="10"/>
      <c r="K8" s="10"/>
      <c r="L8" s="62"/>
    </row>
    <row r="9" spans="1:17">
      <c r="A9" s="15"/>
      <c r="B9" s="10"/>
      <c r="C9" s="10"/>
      <c r="D9" s="10"/>
      <c r="E9" s="10"/>
      <c r="F9" s="10"/>
      <c r="G9" s="10"/>
      <c r="H9" s="10"/>
      <c r="I9" s="10"/>
      <c r="J9" s="10"/>
      <c r="K9" s="10"/>
      <c r="L9" s="62"/>
    </row>
    <row r="10" spans="1:17">
      <c r="A10" s="15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62"/>
    </row>
    <row r="11" spans="1:17">
      <c r="A11" s="15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62"/>
    </row>
    <row r="12" spans="1:17" ht="18" thickBot="1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63"/>
    </row>
    <row r="13" spans="1:17">
      <c r="A13" s="140"/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2"/>
    </row>
    <row r="14" spans="1:17" ht="19.5" thickBot="1">
      <c r="A14" s="118" t="s">
        <v>100</v>
      </c>
      <c r="B14" s="130"/>
      <c r="C14" s="130"/>
      <c r="D14" s="130"/>
      <c r="E14" s="130"/>
      <c r="F14" s="130"/>
      <c r="G14" s="130"/>
      <c r="H14" s="130"/>
      <c r="I14" s="118" t="s">
        <v>17</v>
      </c>
      <c r="J14" s="130"/>
      <c r="K14" s="134">
        <v>101</v>
      </c>
      <c r="L14" s="135"/>
    </row>
    <row r="15" spans="1:17" ht="18" thickBot="1">
      <c r="A15" s="11" t="s">
        <v>9</v>
      </c>
      <c r="B15" s="12"/>
      <c r="C15" s="12" t="s">
        <v>10</v>
      </c>
      <c r="D15" s="12" t="s">
        <v>19</v>
      </c>
      <c r="E15" s="132" t="s">
        <v>20</v>
      </c>
      <c r="F15" s="132"/>
      <c r="G15" s="12" t="s">
        <v>9</v>
      </c>
      <c r="H15" s="12"/>
      <c r="I15" s="12" t="s">
        <v>10</v>
      </c>
      <c r="J15" s="12" t="s">
        <v>19</v>
      </c>
      <c r="K15" s="136" t="s">
        <v>21</v>
      </c>
      <c r="L15" s="137"/>
    </row>
    <row r="16" spans="1:17">
      <c r="A16" s="3" t="s">
        <v>112</v>
      </c>
      <c r="B16" s="10">
        <v>2</v>
      </c>
      <c r="C16" s="10"/>
      <c r="D16" s="9">
        <v>5</v>
      </c>
      <c r="E16" s="64">
        <v>200</v>
      </c>
      <c r="F16" s="10"/>
      <c r="G16" s="10"/>
      <c r="H16" s="10"/>
      <c r="I16" s="10"/>
      <c r="J16" s="10"/>
      <c r="K16" s="10"/>
      <c r="L16" s="62"/>
    </row>
    <row r="17" spans="1:12">
      <c r="A17" s="15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62"/>
    </row>
    <row r="18" spans="1:12">
      <c r="A18" s="15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62"/>
    </row>
    <row r="19" spans="1:12">
      <c r="A19" s="15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62"/>
    </row>
    <row r="20" spans="1:12">
      <c r="A20" s="15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62"/>
    </row>
    <row r="21" spans="1:12">
      <c r="A21" s="15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62"/>
    </row>
    <row r="22" spans="1:12" ht="18" thickBot="1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63"/>
    </row>
    <row r="24" spans="1:12" ht="19.5" thickBot="1">
      <c r="A24" s="118" t="s">
        <v>77</v>
      </c>
      <c r="B24" s="130"/>
      <c r="C24" s="130"/>
      <c r="D24" s="130"/>
      <c r="E24" s="130"/>
      <c r="F24" s="130"/>
      <c r="G24" s="130"/>
      <c r="H24" s="130"/>
      <c r="I24" s="118" t="s">
        <v>17</v>
      </c>
      <c r="J24" s="130"/>
      <c r="K24" s="131">
        <v>103</v>
      </c>
      <c r="L24" s="131"/>
    </row>
    <row r="25" spans="1:12" ht="18" thickBot="1">
      <c r="A25" s="11">
        <v>1</v>
      </c>
      <c r="B25" s="12"/>
      <c r="C25" s="12" t="s">
        <v>10</v>
      </c>
      <c r="D25" s="12" t="s">
        <v>19</v>
      </c>
      <c r="E25" s="132" t="s">
        <v>20</v>
      </c>
      <c r="F25" s="132"/>
      <c r="G25" s="12" t="s">
        <v>9</v>
      </c>
      <c r="H25" s="12"/>
      <c r="I25" s="12" t="s">
        <v>10</v>
      </c>
      <c r="J25" s="12" t="s">
        <v>19</v>
      </c>
      <c r="K25" s="132" t="s">
        <v>21</v>
      </c>
      <c r="L25" s="133"/>
    </row>
    <row r="26" spans="1:12">
      <c r="A26" s="3" t="s">
        <v>112</v>
      </c>
      <c r="B26" s="10">
        <v>1</v>
      </c>
      <c r="C26" s="10"/>
      <c r="D26" s="9">
        <v>5</v>
      </c>
      <c r="E26" s="64">
        <v>100000</v>
      </c>
      <c r="F26" s="10"/>
      <c r="G26" s="3" t="s">
        <v>112</v>
      </c>
      <c r="H26" s="10">
        <v>2</v>
      </c>
      <c r="I26" s="10"/>
      <c r="J26" s="9">
        <v>5</v>
      </c>
      <c r="K26" s="65">
        <v>200</v>
      </c>
      <c r="L26" s="62"/>
    </row>
    <row r="27" spans="1:12">
      <c r="A27" s="15"/>
      <c r="B27" s="10">
        <v>5</v>
      </c>
      <c r="C27" s="10"/>
      <c r="D27" s="9">
        <v>5</v>
      </c>
      <c r="E27" s="65">
        <v>3000</v>
      </c>
      <c r="F27" s="10"/>
      <c r="G27" s="10"/>
      <c r="H27" s="10">
        <v>16</v>
      </c>
      <c r="I27" s="10"/>
      <c r="J27" s="9">
        <v>5</v>
      </c>
      <c r="K27" s="65">
        <v>2175</v>
      </c>
      <c r="L27" s="62"/>
    </row>
    <row r="28" spans="1:12">
      <c r="A28" s="15"/>
      <c r="B28" s="10">
        <v>13</v>
      </c>
      <c r="C28" s="10"/>
      <c r="D28" s="9">
        <v>5</v>
      </c>
      <c r="E28" s="65">
        <v>2500</v>
      </c>
      <c r="F28" s="10"/>
      <c r="G28" s="10"/>
      <c r="H28" s="10">
        <v>20</v>
      </c>
      <c r="I28" s="10"/>
      <c r="J28" s="9">
        <v>5</v>
      </c>
      <c r="K28" s="65">
        <v>120</v>
      </c>
      <c r="L28" s="62"/>
    </row>
    <row r="29" spans="1:12">
      <c r="A29" s="15"/>
      <c r="B29" s="10"/>
      <c r="C29" s="10"/>
      <c r="D29" s="10"/>
      <c r="E29" s="10"/>
      <c r="F29" s="10"/>
      <c r="G29" s="10"/>
      <c r="H29" s="10">
        <v>29</v>
      </c>
      <c r="I29" s="10"/>
      <c r="J29" s="9">
        <v>5</v>
      </c>
      <c r="K29" s="65">
        <v>1100</v>
      </c>
      <c r="L29" s="62"/>
    </row>
    <row r="30" spans="1:12">
      <c r="A30" s="15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62"/>
    </row>
    <row r="31" spans="1:12">
      <c r="A31" s="15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62"/>
    </row>
    <row r="32" spans="1:12" ht="18" thickBot="1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63"/>
    </row>
    <row r="34" spans="1:12" ht="19.5" thickBot="1">
      <c r="A34" s="118" t="s">
        <v>147</v>
      </c>
      <c r="B34" s="130"/>
      <c r="C34" s="130"/>
      <c r="D34" s="130"/>
      <c r="E34" s="130"/>
      <c r="F34" s="130"/>
      <c r="G34" s="130"/>
      <c r="H34" s="130"/>
      <c r="I34" s="118" t="s">
        <v>17</v>
      </c>
      <c r="J34" s="130"/>
      <c r="K34" s="131">
        <v>110</v>
      </c>
      <c r="L34" s="131"/>
    </row>
    <row r="35" spans="1:12" ht="18" thickBot="1">
      <c r="A35" s="11" t="s">
        <v>9</v>
      </c>
      <c r="B35" s="12"/>
      <c r="C35" s="12" t="s">
        <v>10</v>
      </c>
      <c r="D35" s="12" t="s">
        <v>19</v>
      </c>
      <c r="E35" s="132" t="s">
        <v>20</v>
      </c>
      <c r="F35" s="132"/>
      <c r="G35" s="12" t="s">
        <v>9</v>
      </c>
      <c r="H35" s="12"/>
      <c r="I35" s="12" t="s">
        <v>10</v>
      </c>
      <c r="J35" s="12" t="s">
        <v>19</v>
      </c>
      <c r="K35" s="132" t="s">
        <v>21</v>
      </c>
      <c r="L35" s="133"/>
    </row>
    <row r="36" spans="1:12">
      <c r="A36" s="3" t="s">
        <v>112</v>
      </c>
      <c r="B36" s="10">
        <v>12</v>
      </c>
      <c r="C36" s="10"/>
      <c r="D36" s="9">
        <v>5</v>
      </c>
      <c r="E36" s="65">
        <v>2500</v>
      </c>
      <c r="F36" s="10"/>
      <c r="G36" s="3" t="s">
        <v>112</v>
      </c>
      <c r="H36" s="10">
        <v>18</v>
      </c>
      <c r="I36" s="10"/>
      <c r="J36" s="10">
        <v>5</v>
      </c>
      <c r="K36" s="65">
        <v>1200</v>
      </c>
      <c r="L36" s="62"/>
    </row>
    <row r="37" spans="1:12">
      <c r="A37" s="15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62"/>
    </row>
    <row r="38" spans="1:12">
      <c r="A38" s="15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62"/>
    </row>
    <row r="39" spans="1:12">
      <c r="A39" s="15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62"/>
    </row>
    <row r="40" spans="1:12">
      <c r="A40" s="15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62"/>
    </row>
    <row r="41" spans="1:12">
      <c r="A41" s="15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62"/>
    </row>
    <row r="42" spans="1:12">
      <c r="A42" s="15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62"/>
    </row>
    <row r="43" spans="1:12">
      <c r="A43" s="15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62"/>
    </row>
    <row r="44" spans="1:12" ht="18" thickBot="1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63"/>
    </row>
    <row r="46" spans="1:12" ht="19.5" thickBot="1">
      <c r="A46" s="118" t="s">
        <v>148</v>
      </c>
      <c r="B46" s="130"/>
      <c r="C46" s="130"/>
      <c r="D46" s="130"/>
      <c r="E46" s="130"/>
      <c r="F46" s="130"/>
      <c r="G46" s="130"/>
      <c r="H46" s="130"/>
      <c r="I46" s="118" t="s">
        <v>17</v>
      </c>
      <c r="J46" s="130"/>
      <c r="K46" s="131">
        <v>200</v>
      </c>
      <c r="L46" s="131"/>
    </row>
    <row r="47" spans="1:12" ht="18" thickBot="1">
      <c r="A47" s="11" t="s">
        <v>9</v>
      </c>
      <c r="B47" s="12"/>
      <c r="C47" s="12" t="s">
        <v>10</v>
      </c>
      <c r="D47" s="12" t="s">
        <v>19</v>
      </c>
      <c r="E47" s="132" t="s">
        <v>20</v>
      </c>
      <c r="F47" s="132"/>
      <c r="G47" s="12" t="s">
        <v>9</v>
      </c>
      <c r="H47" s="12"/>
      <c r="I47" s="12" t="s">
        <v>10</v>
      </c>
      <c r="J47" s="12" t="s">
        <v>19</v>
      </c>
      <c r="K47" s="132" t="s">
        <v>21</v>
      </c>
      <c r="L47" s="133"/>
    </row>
    <row r="48" spans="1:12">
      <c r="A48" s="3" t="s">
        <v>112</v>
      </c>
      <c r="B48" s="10">
        <v>20</v>
      </c>
      <c r="C48" s="10"/>
      <c r="D48" s="9">
        <v>5</v>
      </c>
      <c r="E48" s="64">
        <v>120</v>
      </c>
      <c r="F48" s="10"/>
      <c r="G48" s="3" t="s">
        <v>112</v>
      </c>
      <c r="H48" s="10">
        <v>17</v>
      </c>
      <c r="I48" s="10"/>
      <c r="J48" s="10">
        <v>5</v>
      </c>
      <c r="K48" s="65">
        <v>120</v>
      </c>
      <c r="L48" s="62"/>
    </row>
    <row r="49" spans="1:12">
      <c r="A49" s="15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62"/>
    </row>
    <row r="50" spans="1:12">
      <c r="A50" s="15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62"/>
    </row>
    <row r="51" spans="1:12">
      <c r="A51" s="15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62"/>
    </row>
    <row r="52" spans="1:12">
      <c r="A52" s="15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62"/>
    </row>
    <row r="53" spans="1:12">
      <c r="A53" s="15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62"/>
    </row>
    <row r="54" spans="1:12">
      <c r="A54" s="15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62"/>
    </row>
    <row r="55" spans="1:12">
      <c r="A55" s="15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62"/>
    </row>
    <row r="56" spans="1:12" ht="18" thickBot="1">
      <c r="A56" s="16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63"/>
    </row>
    <row r="58" spans="1:12" ht="19.5" thickBot="1">
      <c r="A58" s="118" t="s">
        <v>150</v>
      </c>
      <c r="B58" s="130"/>
      <c r="C58" s="130"/>
      <c r="D58" s="130"/>
      <c r="E58" s="130"/>
      <c r="F58" s="130"/>
      <c r="G58" s="130"/>
      <c r="H58" s="130"/>
      <c r="I58" s="118" t="s">
        <v>17</v>
      </c>
      <c r="J58" s="130"/>
      <c r="K58" s="131">
        <v>300</v>
      </c>
      <c r="L58" s="131"/>
    </row>
    <row r="59" spans="1:12" ht="18" thickBot="1">
      <c r="A59" s="11" t="s">
        <v>9</v>
      </c>
      <c r="B59" s="12"/>
      <c r="C59" s="12" t="s">
        <v>10</v>
      </c>
      <c r="D59" s="12" t="s">
        <v>19</v>
      </c>
      <c r="E59" s="132" t="s">
        <v>20</v>
      </c>
      <c r="F59" s="132"/>
      <c r="G59" s="12" t="s">
        <v>9</v>
      </c>
      <c r="H59" s="12"/>
      <c r="I59" s="12" t="s">
        <v>10</v>
      </c>
      <c r="J59" s="12" t="s">
        <v>19</v>
      </c>
      <c r="K59" s="132" t="s">
        <v>21</v>
      </c>
      <c r="L59" s="133"/>
    </row>
    <row r="60" spans="1:12">
      <c r="A60" s="15"/>
      <c r="B60" s="10"/>
      <c r="C60" s="10"/>
      <c r="D60" s="10"/>
      <c r="E60" s="10"/>
      <c r="F60" s="10"/>
      <c r="G60" s="3" t="s">
        <v>112</v>
      </c>
      <c r="H60" s="10">
        <v>1</v>
      </c>
      <c r="I60" s="10"/>
      <c r="J60" s="9">
        <v>5</v>
      </c>
      <c r="K60" s="23">
        <v>100000</v>
      </c>
      <c r="L60" s="62"/>
    </row>
    <row r="61" spans="1:12">
      <c r="A61" s="15"/>
      <c r="B61" s="10"/>
      <c r="C61" s="10"/>
      <c r="D61" s="10"/>
      <c r="E61" s="10"/>
      <c r="F61" s="10"/>
      <c r="G61" s="10"/>
      <c r="H61" s="10"/>
      <c r="I61" s="10"/>
      <c r="J61" s="9"/>
      <c r="K61" s="29"/>
      <c r="L61" s="62"/>
    </row>
    <row r="62" spans="1:12">
      <c r="A62" s="15"/>
      <c r="B62" s="10"/>
      <c r="C62" s="10"/>
      <c r="D62" s="9"/>
      <c r="E62" s="55"/>
      <c r="F62" s="10"/>
      <c r="G62" s="10"/>
      <c r="H62" s="10"/>
      <c r="I62" s="10"/>
      <c r="J62" s="10"/>
      <c r="K62" s="10"/>
      <c r="L62" s="62"/>
    </row>
    <row r="63" spans="1:12">
      <c r="A63" s="15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62"/>
    </row>
    <row r="64" spans="1:12">
      <c r="A64" s="15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62"/>
    </row>
    <row r="65" spans="1:12">
      <c r="A65" s="15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62"/>
    </row>
    <row r="66" spans="1:12">
      <c r="A66" s="15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62"/>
    </row>
    <row r="67" spans="1:12">
      <c r="A67" s="15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62"/>
    </row>
    <row r="68" spans="1:12" ht="18" thickBot="1">
      <c r="A68" s="16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63"/>
    </row>
    <row r="70" spans="1:12" ht="19.5" thickBot="1">
      <c r="A70" s="118" t="s">
        <v>142</v>
      </c>
      <c r="B70" s="130"/>
      <c r="C70" s="130"/>
      <c r="D70" s="130"/>
      <c r="E70" s="130"/>
      <c r="F70" s="130"/>
      <c r="G70" s="130"/>
      <c r="H70" s="130"/>
      <c r="I70" s="118" t="s">
        <v>17</v>
      </c>
      <c r="J70" s="130"/>
      <c r="K70" s="131">
        <v>301</v>
      </c>
      <c r="L70" s="131"/>
    </row>
    <row r="71" spans="1:12" ht="18" thickBot="1">
      <c r="A71" s="11" t="s">
        <v>9</v>
      </c>
      <c r="B71" s="12"/>
      <c r="C71" s="12" t="s">
        <v>10</v>
      </c>
      <c r="D71" s="12" t="s">
        <v>19</v>
      </c>
      <c r="E71" s="132" t="s">
        <v>20</v>
      </c>
      <c r="F71" s="132"/>
      <c r="G71" s="12" t="s">
        <v>9</v>
      </c>
      <c r="H71" s="12"/>
      <c r="I71" s="12" t="s">
        <v>10</v>
      </c>
      <c r="J71" s="12" t="s">
        <v>19</v>
      </c>
      <c r="K71" s="132" t="s">
        <v>21</v>
      </c>
      <c r="L71" s="133"/>
    </row>
    <row r="72" spans="1:12">
      <c r="A72" s="3" t="s">
        <v>112</v>
      </c>
      <c r="B72" s="10">
        <v>29</v>
      </c>
      <c r="C72" s="10"/>
      <c r="D72" s="10">
        <v>5</v>
      </c>
      <c r="E72" s="65">
        <v>1100</v>
      </c>
      <c r="F72" s="10"/>
      <c r="G72" s="10"/>
      <c r="H72" s="10"/>
      <c r="I72" s="10"/>
      <c r="J72" s="9"/>
      <c r="K72" s="64"/>
      <c r="L72" s="62"/>
    </row>
    <row r="73" spans="1:12">
      <c r="A73" s="15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62"/>
    </row>
    <row r="74" spans="1:12">
      <c r="A74" s="15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62"/>
    </row>
    <row r="75" spans="1:12">
      <c r="A75" s="15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62"/>
    </row>
    <row r="76" spans="1:12">
      <c r="A76" s="15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62"/>
    </row>
    <row r="77" spans="1:12">
      <c r="A77" s="15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62"/>
    </row>
    <row r="78" spans="1:12">
      <c r="A78" s="15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62"/>
    </row>
    <row r="79" spans="1:12">
      <c r="A79" s="15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62"/>
    </row>
    <row r="80" spans="1:12" ht="18" thickBot="1">
      <c r="A80" s="16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63"/>
    </row>
    <row r="82" spans="1:12" ht="19.5" thickBot="1">
      <c r="A82" s="118" t="s">
        <v>124</v>
      </c>
      <c r="B82" s="130"/>
      <c r="C82" s="130"/>
      <c r="D82" s="130"/>
      <c r="E82" s="130"/>
      <c r="F82" s="130"/>
      <c r="G82" s="130"/>
      <c r="H82" s="130"/>
      <c r="I82" s="118" t="s">
        <v>17</v>
      </c>
      <c r="J82" s="130"/>
      <c r="K82" s="131">
        <v>400</v>
      </c>
      <c r="L82" s="131"/>
    </row>
    <row r="83" spans="1:12" ht="18" thickBot="1">
      <c r="A83" s="11" t="s">
        <v>9</v>
      </c>
      <c r="B83" s="12"/>
      <c r="C83" s="12" t="s">
        <v>10</v>
      </c>
      <c r="D83" s="12" t="s">
        <v>19</v>
      </c>
      <c r="E83" s="132" t="s">
        <v>20</v>
      </c>
      <c r="F83" s="132"/>
      <c r="G83" s="12" t="s">
        <v>9</v>
      </c>
      <c r="H83" s="12"/>
      <c r="I83" s="12" t="s">
        <v>10</v>
      </c>
      <c r="J83" s="12" t="s">
        <v>19</v>
      </c>
      <c r="K83" s="132" t="s">
        <v>21</v>
      </c>
      <c r="L83" s="133"/>
    </row>
    <row r="84" spans="1:12">
      <c r="A84" s="3" t="s">
        <v>112</v>
      </c>
      <c r="B84" s="10">
        <v>5</v>
      </c>
      <c r="C84" s="10"/>
      <c r="D84" s="10">
        <v>5</v>
      </c>
      <c r="E84" s="65">
        <v>3000</v>
      </c>
      <c r="F84" s="10"/>
      <c r="G84" s="3" t="s">
        <v>112</v>
      </c>
      <c r="H84" s="10">
        <v>12</v>
      </c>
      <c r="I84" s="10"/>
      <c r="J84" s="155">
        <v>5</v>
      </c>
      <c r="K84" s="64">
        <v>2500</v>
      </c>
      <c r="L84" s="62"/>
    </row>
    <row r="85" spans="1:12">
      <c r="A85" s="15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62"/>
    </row>
    <row r="86" spans="1:12">
      <c r="A86" s="15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62"/>
    </row>
    <row r="87" spans="1:12">
      <c r="A87" s="15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62"/>
    </row>
    <row r="88" spans="1:12">
      <c r="A88" s="15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62"/>
    </row>
    <row r="89" spans="1:12">
      <c r="A89" s="15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62"/>
    </row>
    <row r="90" spans="1:12">
      <c r="A90" s="15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62"/>
    </row>
    <row r="91" spans="1:12">
      <c r="A91" s="15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62"/>
    </row>
    <row r="92" spans="1:12" ht="18" thickBot="1">
      <c r="A92" s="16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63"/>
    </row>
    <row r="94" spans="1:12" ht="18.75">
      <c r="A94" s="158" t="s">
        <v>122</v>
      </c>
      <c r="B94" s="159"/>
      <c r="C94" s="159"/>
      <c r="D94" s="159"/>
      <c r="E94" s="159"/>
      <c r="F94" s="159"/>
      <c r="G94" s="159"/>
      <c r="H94" s="159"/>
      <c r="I94" s="158" t="s">
        <v>17</v>
      </c>
      <c r="J94" s="159"/>
      <c r="K94" s="160">
        <v>600</v>
      </c>
      <c r="L94" s="160"/>
    </row>
    <row r="95" spans="1:12" ht="18" thickBot="1">
      <c r="A95" s="156" t="s">
        <v>9</v>
      </c>
      <c r="B95" s="157"/>
      <c r="C95" s="157" t="s">
        <v>10</v>
      </c>
      <c r="D95" s="157" t="s">
        <v>19</v>
      </c>
      <c r="E95" s="136" t="s">
        <v>20</v>
      </c>
      <c r="F95" s="136"/>
      <c r="G95" s="157" t="s">
        <v>9</v>
      </c>
      <c r="H95" s="157"/>
      <c r="I95" s="157" t="s">
        <v>10</v>
      </c>
      <c r="J95" s="157" t="s">
        <v>19</v>
      </c>
      <c r="K95" s="136" t="s">
        <v>21</v>
      </c>
      <c r="L95" s="137"/>
    </row>
    <row r="96" spans="1:12">
      <c r="A96" s="3" t="s">
        <v>112</v>
      </c>
      <c r="B96" s="10">
        <v>16</v>
      </c>
      <c r="C96" s="10"/>
      <c r="D96" s="9">
        <v>5</v>
      </c>
      <c r="E96" s="65">
        <v>1200</v>
      </c>
      <c r="F96" s="10"/>
      <c r="G96" s="10"/>
      <c r="H96" s="10"/>
      <c r="I96" s="10"/>
      <c r="J96" s="10"/>
      <c r="K96" s="64"/>
      <c r="L96" s="62"/>
    </row>
    <row r="97" spans="1:12">
      <c r="A97" s="15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62"/>
    </row>
    <row r="98" spans="1:12">
      <c r="A98" s="15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62"/>
    </row>
    <row r="99" spans="1:12">
      <c r="A99" s="15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62"/>
    </row>
    <row r="100" spans="1:12">
      <c r="A100" s="15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62"/>
    </row>
    <row r="101" spans="1:12">
      <c r="A101" s="15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62"/>
    </row>
    <row r="102" spans="1:12">
      <c r="A102" s="15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62"/>
    </row>
    <row r="103" spans="1:12">
      <c r="A103" s="15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62"/>
    </row>
    <row r="104" spans="1:12" ht="18" thickBot="1">
      <c r="A104" s="16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63"/>
    </row>
    <row r="106" spans="1:12" ht="18.75">
      <c r="A106" s="158" t="s">
        <v>127</v>
      </c>
      <c r="B106" s="159"/>
      <c r="C106" s="159"/>
      <c r="D106" s="159"/>
      <c r="E106" s="159"/>
      <c r="F106" s="159"/>
      <c r="G106" s="159"/>
      <c r="H106" s="159"/>
      <c r="I106" s="158" t="s">
        <v>17</v>
      </c>
      <c r="J106" s="159"/>
      <c r="K106" s="160">
        <v>601</v>
      </c>
      <c r="L106" s="160"/>
    </row>
    <row r="107" spans="1:12" ht="18" thickBot="1">
      <c r="A107" s="156" t="s">
        <v>9</v>
      </c>
      <c r="B107" s="157"/>
      <c r="C107" s="157" t="s">
        <v>10</v>
      </c>
      <c r="D107" s="157" t="s">
        <v>19</v>
      </c>
      <c r="E107" s="136" t="s">
        <v>20</v>
      </c>
      <c r="F107" s="136"/>
      <c r="G107" s="157" t="s">
        <v>9</v>
      </c>
      <c r="H107" s="157"/>
      <c r="I107" s="157" t="s">
        <v>10</v>
      </c>
      <c r="J107" s="157" t="s">
        <v>19</v>
      </c>
      <c r="K107" s="136" t="s">
        <v>21</v>
      </c>
      <c r="L107" s="137"/>
    </row>
    <row r="108" spans="1:12">
      <c r="A108" s="3" t="s">
        <v>112</v>
      </c>
      <c r="B108" s="10">
        <v>16</v>
      </c>
      <c r="C108" s="10"/>
      <c r="D108" s="9">
        <v>5</v>
      </c>
      <c r="E108" s="65">
        <v>900</v>
      </c>
      <c r="F108" s="10"/>
      <c r="G108" s="10"/>
      <c r="H108" s="10"/>
      <c r="I108" s="10"/>
      <c r="J108" s="10"/>
      <c r="K108" s="64"/>
      <c r="L108" s="62"/>
    </row>
    <row r="109" spans="1:12">
      <c r="A109" s="15"/>
      <c r="B109" s="10" t="s">
        <v>151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62"/>
    </row>
    <row r="110" spans="1:12">
      <c r="A110" s="15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62"/>
    </row>
    <row r="111" spans="1:12">
      <c r="A111" s="15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62"/>
    </row>
    <row r="112" spans="1:12">
      <c r="A112" s="15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62"/>
    </row>
    <row r="113" spans="1:12">
      <c r="A113" s="15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62"/>
    </row>
    <row r="114" spans="1:12">
      <c r="A114" s="15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62"/>
    </row>
    <row r="115" spans="1:12">
      <c r="A115" s="15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62"/>
    </row>
    <row r="116" spans="1:12" ht="18" thickBot="1">
      <c r="A116" s="16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63"/>
    </row>
    <row r="118" spans="1:12" ht="18.75">
      <c r="A118" s="158" t="s">
        <v>132</v>
      </c>
      <c r="B118" s="159"/>
      <c r="C118" s="159"/>
      <c r="D118" s="159"/>
      <c r="E118" s="159"/>
      <c r="F118" s="159"/>
      <c r="G118" s="159"/>
      <c r="H118" s="159"/>
      <c r="I118" s="158" t="s">
        <v>17</v>
      </c>
      <c r="J118" s="159"/>
      <c r="K118" s="160">
        <v>602</v>
      </c>
      <c r="L118" s="160"/>
    </row>
    <row r="119" spans="1:12" ht="18" thickBot="1">
      <c r="A119" s="156" t="s">
        <v>9</v>
      </c>
      <c r="B119" s="157"/>
      <c r="C119" s="157" t="s">
        <v>10</v>
      </c>
      <c r="D119" s="157" t="s">
        <v>19</v>
      </c>
      <c r="E119" s="136" t="s">
        <v>20</v>
      </c>
      <c r="F119" s="136"/>
      <c r="G119" s="157" t="s">
        <v>9</v>
      </c>
      <c r="H119" s="157"/>
      <c r="I119" s="157" t="s">
        <v>10</v>
      </c>
      <c r="J119" s="157" t="s">
        <v>19</v>
      </c>
      <c r="K119" s="136" t="s">
        <v>21</v>
      </c>
      <c r="L119" s="137"/>
    </row>
    <row r="120" spans="1:12">
      <c r="A120" s="3" t="s">
        <v>112</v>
      </c>
      <c r="B120" s="10">
        <v>17</v>
      </c>
      <c r="C120" s="10"/>
      <c r="D120" s="9">
        <v>5</v>
      </c>
      <c r="E120" s="65">
        <v>120</v>
      </c>
      <c r="F120" s="10"/>
      <c r="G120" s="10"/>
      <c r="H120" s="10"/>
      <c r="I120" s="10"/>
      <c r="J120" s="10"/>
      <c r="K120" s="64"/>
      <c r="L120" s="62"/>
    </row>
    <row r="121" spans="1:12">
      <c r="A121" s="15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62"/>
    </row>
    <row r="122" spans="1:12">
      <c r="A122" s="15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62"/>
    </row>
    <row r="123" spans="1:12">
      <c r="A123" s="15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62"/>
    </row>
    <row r="124" spans="1:12">
      <c r="A124" s="15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62"/>
    </row>
    <row r="125" spans="1:12">
      <c r="A125" s="15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62"/>
    </row>
    <row r="126" spans="1:12">
      <c r="A126" s="15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62"/>
    </row>
    <row r="127" spans="1:12">
      <c r="A127" s="15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62"/>
    </row>
    <row r="128" spans="1:12" ht="18" thickBot="1">
      <c r="A128" s="16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63"/>
    </row>
    <row r="130" spans="1:12" ht="18.75">
      <c r="A130" s="158" t="s">
        <v>126</v>
      </c>
      <c r="B130" s="159"/>
      <c r="C130" s="159"/>
      <c r="D130" s="159"/>
      <c r="E130" s="159"/>
      <c r="F130" s="159"/>
      <c r="G130" s="159"/>
      <c r="H130" s="159"/>
      <c r="I130" s="158" t="s">
        <v>17</v>
      </c>
      <c r="J130" s="159"/>
      <c r="K130" s="160">
        <v>603</v>
      </c>
      <c r="L130" s="160"/>
    </row>
    <row r="131" spans="1:12" ht="18" thickBot="1">
      <c r="A131" s="156" t="s">
        <v>9</v>
      </c>
      <c r="B131" s="157"/>
      <c r="C131" s="157" t="s">
        <v>10</v>
      </c>
      <c r="D131" s="157" t="s">
        <v>19</v>
      </c>
      <c r="E131" s="136" t="s">
        <v>20</v>
      </c>
      <c r="F131" s="136"/>
      <c r="G131" s="157" t="s">
        <v>9</v>
      </c>
      <c r="H131" s="157"/>
      <c r="I131" s="157" t="s">
        <v>10</v>
      </c>
      <c r="J131" s="157" t="s">
        <v>19</v>
      </c>
      <c r="K131" s="136" t="s">
        <v>21</v>
      </c>
      <c r="L131" s="137"/>
    </row>
    <row r="132" spans="1:12">
      <c r="A132" s="3" t="s">
        <v>112</v>
      </c>
      <c r="B132" s="10">
        <v>16</v>
      </c>
      <c r="C132" s="10"/>
      <c r="D132" s="9">
        <v>5</v>
      </c>
      <c r="E132" s="65">
        <v>75</v>
      </c>
      <c r="F132" s="10"/>
      <c r="G132" s="10"/>
      <c r="H132" s="10"/>
      <c r="I132" s="10"/>
      <c r="J132" s="10"/>
      <c r="K132" s="64"/>
      <c r="L132" s="62"/>
    </row>
    <row r="133" spans="1:12">
      <c r="A133" s="15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62"/>
    </row>
    <row r="134" spans="1:12">
      <c r="A134" s="15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62"/>
    </row>
    <row r="135" spans="1:12">
      <c r="A135" s="15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62"/>
    </row>
    <row r="136" spans="1:12">
      <c r="A136" s="15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62"/>
    </row>
    <row r="137" spans="1:12">
      <c r="A137" s="15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62"/>
    </row>
    <row r="138" spans="1:12">
      <c r="A138" s="15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62"/>
    </row>
    <row r="139" spans="1:12">
      <c r="A139" s="15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62"/>
    </row>
    <row r="140" spans="1:12" ht="18" thickBot="1">
      <c r="A140" s="16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63"/>
    </row>
  </sheetData>
  <mergeCells count="63">
    <mergeCell ref="A130:H130"/>
    <mergeCell ref="I130:J130"/>
    <mergeCell ref="K130:L130"/>
    <mergeCell ref="E131:F131"/>
    <mergeCell ref="K131:L131"/>
    <mergeCell ref="A118:H118"/>
    <mergeCell ref="I118:J118"/>
    <mergeCell ref="K118:L118"/>
    <mergeCell ref="E119:F119"/>
    <mergeCell ref="K119:L119"/>
    <mergeCell ref="A106:H106"/>
    <mergeCell ref="I106:J106"/>
    <mergeCell ref="K106:L106"/>
    <mergeCell ref="E107:F107"/>
    <mergeCell ref="K107:L107"/>
    <mergeCell ref="E4:F4"/>
    <mergeCell ref="K4:L4"/>
    <mergeCell ref="A1:L1"/>
    <mergeCell ref="A2:H2"/>
    <mergeCell ref="I2:J2"/>
    <mergeCell ref="K2:L2"/>
    <mergeCell ref="A3:L3"/>
    <mergeCell ref="A13:L13"/>
    <mergeCell ref="A14:H14"/>
    <mergeCell ref="I14:J14"/>
    <mergeCell ref="K14:L14"/>
    <mergeCell ref="E15:F15"/>
    <mergeCell ref="K15:L15"/>
    <mergeCell ref="E47:F47"/>
    <mergeCell ref="K47:L47"/>
    <mergeCell ref="A24:H24"/>
    <mergeCell ref="I24:J24"/>
    <mergeCell ref="K24:L24"/>
    <mergeCell ref="E25:F25"/>
    <mergeCell ref="K25:L25"/>
    <mergeCell ref="A34:H34"/>
    <mergeCell ref="I34:J34"/>
    <mergeCell ref="K34:L34"/>
    <mergeCell ref="E35:F35"/>
    <mergeCell ref="K35:L35"/>
    <mergeCell ref="A46:H46"/>
    <mergeCell ref="I46:J46"/>
    <mergeCell ref="K46:L46"/>
    <mergeCell ref="E83:F83"/>
    <mergeCell ref="K83:L83"/>
    <mergeCell ref="A58:H58"/>
    <mergeCell ref="I58:J58"/>
    <mergeCell ref="K58:L58"/>
    <mergeCell ref="E59:F59"/>
    <mergeCell ref="K59:L59"/>
    <mergeCell ref="A70:H70"/>
    <mergeCell ref="I70:J70"/>
    <mergeCell ref="K70:L70"/>
    <mergeCell ref="E71:F71"/>
    <mergeCell ref="K71:L71"/>
    <mergeCell ref="A82:H82"/>
    <mergeCell ref="I82:J82"/>
    <mergeCell ref="K82:L82"/>
    <mergeCell ref="A94:H94"/>
    <mergeCell ref="I94:J94"/>
    <mergeCell ref="K94:L94"/>
    <mergeCell ref="E95:F95"/>
    <mergeCell ref="K95:L95"/>
  </mergeCells>
  <printOptions horizontalCentered="1" verticalCentered="1"/>
  <pageMargins left="0.05" right="0.05" top="0.55000000000000004" bottom="0.55000000000000004" header="0" footer="0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A2ED8-A1C0-4C76-9728-AE6B142AEBBE}">
  <dimension ref="A1:D20"/>
  <sheetViews>
    <sheetView topLeftCell="A4" workbookViewId="0">
      <selection activeCell="B12" sqref="B12"/>
    </sheetView>
  </sheetViews>
  <sheetFormatPr baseColWidth="10" defaultColWidth="10.875" defaultRowHeight="18.75"/>
  <cols>
    <col min="1" max="1" width="37.625" style="1" customWidth="1"/>
    <col min="2" max="2" width="22.875" style="1" customWidth="1"/>
    <col min="3" max="3" width="1.125" style="1" customWidth="1"/>
    <col min="4" max="4" width="22.875" style="1" customWidth="1"/>
    <col min="5" max="16384" width="10.875" style="1"/>
  </cols>
  <sheetData>
    <row r="1" spans="1:4">
      <c r="A1" s="150"/>
      <c r="B1" s="150"/>
      <c r="C1" s="150"/>
      <c r="D1" s="150"/>
    </row>
    <row r="2" spans="1:4">
      <c r="A2" s="151" t="s">
        <v>23</v>
      </c>
      <c r="B2" s="151"/>
      <c r="C2" s="151"/>
      <c r="D2" s="151"/>
    </row>
    <row r="3" spans="1:4">
      <c r="A3" s="151" t="s">
        <v>152</v>
      </c>
      <c r="B3" s="151"/>
      <c r="C3" s="151"/>
      <c r="D3" s="151"/>
    </row>
    <row r="4" spans="1:4">
      <c r="A4" s="151" t="s">
        <v>24</v>
      </c>
      <c r="B4" s="151"/>
      <c r="C4" s="151"/>
      <c r="D4" s="151"/>
    </row>
    <row r="5" spans="1:4">
      <c r="A5" s="152"/>
      <c r="B5" s="152"/>
      <c r="C5" s="152"/>
      <c r="D5" s="152"/>
    </row>
    <row r="6" spans="1:4" s="8" customFormat="1">
      <c r="A6" s="20" t="s">
        <v>25</v>
      </c>
      <c r="B6" s="161" t="s">
        <v>4</v>
      </c>
      <c r="C6" s="148"/>
      <c r="D6" s="162" t="s">
        <v>5</v>
      </c>
    </row>
    <row r="7" spans="1:4">
      <c r="A7" s="18" t="s">
        <v>146</v>
      </c>
      <c r="B7" s="41">
        <v>1200</v>
      </c>
      <c r="C7" s="149"/>
      <c r="D7" s="19"/>
    </row>
    <row r="8" spans="1:4">
      <c r="A8" s="18" t="s">
        <v>100</v>
      </c>
      <c r="B8" s="41">
        <v>200</v>
      </c>
      <c r="C8" s="149"/>
      <c r="D8" s="19"/>
    </row>
    <row r="9" spans="1:4">
      <c r="A9" s="18" t="s">
        <v>77</v>
      </c>
      <c r="B9" s="41">
        <v>101905</v>
      </c>
      <c r="C9" s="149"/>
      <c r="D9" s="19"/>
    </row>
    <row r="10" spans="1:4">
      <c r="A10" s="18" t="s">
        <v>147</v>
      </c>
      <c r="B10" s="41">
        <v>1300</v>
      </c>
      <c r="C10" s="149"/>
      <c r="D10" s="19"/>
    </row>
    <row r="11" spans="1:4">
      <c r="A11" s="18" t="s">
        <v>148</v>
      </c>
      <c r="B11" s="41">
        <v>0</v>
      </c>
      <c r="C11" s="149"/>
      <c r="D11" s="19"/>
    </row>
    <row r="12" spans="1:4">
      <c r="A12" s="18" t="s">
        <v>1</v>
      </c>
      <c r="B12" s="41"/>
      <c r="C12" s="149"/>
      <c r="D12" s="165">
        <v>100000</v>
      </c>
    </row>
    <row r="13" spans="1:4">
      <c r="A13" s="18" t="s">
        <v>142</v>
      </c>
      <c r="B13" s="41">
        <v>1100</v>
      </c>
      <c r="C13" s="149"/>
      <c r="D13" s="19"/>
    </row>
    <row r="14" spans="1:4">
      <c r="A14" s="18" t="s">
        <v>124</v>
      </c>
      <c r="B14" s="42"/>
      <c r="C14" s="149"/>
      <c r="D14" s="165">
        <v>8000</v>
      </c>
    </row>
    <row r="15" spans="1:4">
      <c r="A15" s="18" t="s">
        <v>122</v>
      </c>
      <c r="B15" s="41">
        <v>1200</v>
      </c>
      <c r="C15" s="149"/>
      <c r="D15" s="19"/>
    </row>
    <row r="16" spans="1:4">
      <c r="A16" s="18" t="s">
        <v>127</v>
      </c>
      <c r="B16" s="42">
        <v>900</v>
      </c>
      <c r="C16" s="149"/>
      <c r="D16" s="43"/>
    </row>
    <row r="17" spans="1:4">
      <c r="A17" s="18" t="s">
        <v>132</v>
      </c>
      <c r="B17" s="42">
        <v>120</v>
      </c>
      <c r="C17" s="149"/>
      <c r="D17" s="43"/>
    </row>
    <row r="18" spans="1:4">
      <c r="A18" s="18" t="s">
        <v>126</v>
      </c>
      <c r="B18" s="42">
        <v>75</v>
      </c>
      <c r="C18" s="149"/>
      <c r="D18" s="43"/>
    </row>
    <row r="19" spans="1:4" ht="19.5" thickBot="1">
      <c r="A19" s="164" t="s">
        <v>26</v>
      </c>
      <c r="B19" s="44">
        <f>SUM(B7:B18)</f>
        <v>108000</v>
      </c>
      <c r="C19" s="37"/>
      <c r="D19" s="44">
        <f>SUM(D7:D18)</f>
        <v>108000</v>
      </c>
    </row>
    <row r="20" spans="1:4" ht="19.5" thickTop="1"/>
  </sheetData>
  <mergeCells count="6">
    <mergeCell ref="C6:C18"/>
    <mergeCell ref="A1:D1"/>
    <mergeCell ref="A2:D2"/>
    <mergeCell ref="A3:D3"/>
    <mergeCell ref="A4:D4"/>
    <mergeCell ref="A5:D5"/>
  </mergeCell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8C0B7E3A79604D8F87E99E08D90AB2" ma:contentTypeVersion="11" ma:contentTypeDescription="Create a new document." ma:contentTypeScope="" ma:versionID="174b603d9fdfeb112a1eed2f620322fe">
  <xsd:schema xmlns:xsd="http://www.w3.org/2001/XMLSchema" xmlns:xs="http://www.w3.org/2001/XMLSchema" xmlns:p="http://schemas.microsoft.com/office/2006/metadata/properties" xmlns:ns2="1ec974d5-79f4-40f9-ad07-9a7317027a8d" xmlns:ns3="9395d257-cfb8-45fb-b9fe-b8a70affdbb0" targetNamespace="http://schemas.microsoft.com/office/2006/metadata/properties" ma:root="true" ma:fieldsID="f6b4b8368776aeaa74880bddb1ca5fb3" ns2:_="" ns3:_="">
    <xsd:import namespace="1ec974d5-79f4-40f9-ad07-9a7317027a8d"/>
    <xsd:import namespace="9395d257-cfb8-45fb-b9fe-b8a70affdbb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c974d5-79f4-40f9-ad07-9a7317027a8d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348c8ee-fc48-4349-a3df-b5c7dc9d70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95d257-cfb8-45fb-b9fe-b8a70affdbb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e38ee28-1988-4a93-aca8-043500029078}" ma:internalName="TaxCatchAll" ma:showField="CatchAllData" ma:web="9395d257-cfb8-45fb-b9fe-b8a70affd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1ec974d5-79f4-40f9-ad07-9a7317027a8d" xsi:nil="true"/>
    <lcf76f155ced4ddcb4097134ff3c332f xmlns="1ec974d5-79f4-40f9-ad07-9a7317027a8d">
      <Terms xmlns="http://schemas.microsoft.com/office/infopath/2007/PartnerControls"/>
    </lcf76f155ced4ddcb4097134ff3c332f>
    <TaxCatchAll xmlns="9395d257-cfb8-45fb-b9fe-b8a70affdbb0" xsi:nil="true"/>
  </documentManagement>
</p:properties>
</file>

<file path=customXml/itemProps1.xml><?xml version="1.0" encoding="utf-8"?>
<ds:datastoreItem xmlns:ds="http://schemas.openxmlformats.org/officeDocument/2006/customXml" ds:itemID="{C58209C7-D81C-44CC-AD30-C140275E2D31}"/>
</file>

<file path=customXml/itemProps2.xml><?xml version="1.0" encoding="utf-8"?>
<ds:datastoreItem xmlns:ds="http://schemas.openxmlformats.org/officeDocument/2006/customXml" ds:itemID="{C049EEC5-8AE9-4EBE-A0F0-2A145294D9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4F1464-70DC-40EC-9643-1B9BBED83215}">
  <ds:schemaRefs>
    <ds:schemaRef ds:uri="http://schemas.microsoft.com/office/2006/metadata/properties"/>
    <ds:schemaRef ds:uri="http://www.w3.org/2000/xmlns/"/>
    <ds:schemaRef ds:uri="http://schemas.microsoft.com/office/infopath/2007/PartnerControls"/>
    <ds:schemaRef ds:uri="1ec974d5-79f4-40f9-ad07-9a7317027a8d"/>
    <ds:schemaRef ds:uri="9395d257-cfb8-45fb-b9fe-b8a70affdb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PROBLEMA</vt:lpstr>
      <vt:lpstr>DIARIO</vt:lpstr>
      <vt:lpstr>MAYOR</vt:lpstr>
      <vt:lpstr>BALANCE</vt:lpstr>
      <vt:lpstr>PROBLEMA No. 2</vt:lpstr>
      <vt:lpstr>DIARIO (2)</vt:lpstr>
      <vt:lpstr>MAYOR (2)</vt:lpstr>
      <vt:lpstr>BALANCE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Microsoft Office</dc:creator>
  <cp:keywords/>
  <dc:description/>
  <cp:lastModifiedBy>Aaron Ortiz</cp:lastModifiedBy>
  <cp:revision/>
  <dcterms:created xsi:type="dcterms:W3CDTF">2017-09-19T17:58:02Z</dcterms:created>
  <dcterms:modified xsi:type="dcterms:W3CDTF">2026-05-24T19:56:23Z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0x010100508C0B7E3A79604D8F87E99E08D90AB2</vt:lpwstr>
  </property>
  <property fmtid="{D5CDD505-2E9C-101B-9397-08002B2CF9AE}" pid="3" name="MediaServiceImageTags">
    <vt:lpwstr/>
  </property>
</Properties>
</file>