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arom\Downloads\"/>
    </mc:Choice>
  </mc:AlternateContent>
  <xr:revisionPtr revIDLastSave="0" documentId="8_{9F8F4891-27DA-4DF8-997E-1E0C80B65093}" xr6:coauthVersionLast="47" xr6:coauthVersionMax="47" xr10:uidLastSave="{00000000-0000-0000-0000-000000000000}"/>
  <bookViews>
    <workbookView xWindow="-120" yWindow="-120" windowWidth="20730" windowHeight="11760" activeTab="1" xr2:uid="{2FAFE433-BADB-4B7C-8180-03785DAE63D6}"/>
  </bookViews>
  <sheets>
    <sheet name="Enunciado" sheetId="4" r:id="rId1"/>
    <sheet name="MAYOR" sheetId="2" r:id="rId2"/>
    <sheet name="BALANCE" sheetId="3" r:id="rId3"/>
    <sheet name="DIARI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6" i="2" l="1"/>
  <c r="E144" i="2"/>
  <c r="K55" i="2"/>
  <c r="E55" i="2"/>
  <c r="E32" i="2"/>
  <c r="K21" i="2"/>
  <c r="K18" i="2"/>
  <c r="F34" i="1"/>
  <c r="F42" i="1"/>
  <c r="R13" i="1"/>
  <c r="R16" i="1" s="1"/>
  <c r="M12" i="1"/>
  <c r="M16" i="1" s="1"/>
  <c r="E41" i="1"/>
  <c r="E40" i="1"/>
  <c r="E39" i="1"/>
  <c r="H24" i="1"/>
  <c r="F37" i="1"/>
  <c r="E36" i="1"/>
  <c r="H21" i="1"/>
  <c r="I21" i="1"/>
  <c r="I8" i="1"/>
  <c r="E33" i="1"/>
  <c r="H16" i="1"/>
  <c r="H17" i="1" s="1"/>
  <c r="F24" i="1"/>
  <c r="E22" i="1"/>
  <c r="F19" i="1"/>
  <c r="E18" i="1"/>
  <c r="F20" i="1"/>
  <c r="I5" i="1"/>
  <c r="H12" i="1" s="1"/>
  <c r="M10" i="1"/>
  <c r="Q48" i="1"/>
  <c r="M48" i="1"/>
  <c r="H48" i="1"/>
  <c r="Q35" i="1"/>
  <c r="M35" i="1"/>
  <c r="H35" i="1"/>
  <c r="B30" i="3"/>
  <c r="M24" i="1"/>
  <c r="Q7" i="1"/>
  <c r="N6" i="1"/>
  <c r="R24" i="1"/>
  <c r="D30" i="3"/>
</calcChain>
</file>

<file path=xl/sharedStrings.xml><?xml version="1.0" encoding="utf-8"?>
<sst xmlns="http://schemas.openxmlformats.org/spreadsheetml/2006/main" count="297" uniqueCount="77">
  <si>
    <t>DR</t>
  </si>
  <si>
    <t>CR</t>
  </si>
  <si>
    <t>FECHA</t>
  </si>
  <si>
    <t>DETALLE</t>
  </si>
  <si>
    <t>REF</t>
  </si>
  <si>
    <t>DIARIO</t>
  </si>
  <si>
    <t>HOJA DE MAYOR</t>
  </si>
  <si>
    <t xml:space="preserve">No. </t>
  </si>
  <si>
    <t>ACTIVO</t>
  </si>
  <si>
    <t>PASIVO</t>
  </si>
  <si>
    <t>REF.</t>
  </si>
  <si>
    <t>DÉBITO</t>
  </si>
  <si>
    <t>CRÉDITO</t>
  </si>
  <si>
    <t>CAPITAL</t>
  </si>
  <si>
    <t>INGRESOS</t>
  </si>
  <si>
    <t xml:space="preserve">COSTOS </t>
  </si>
  <si>
    <t>GASTOS</t>
  </si>
  <si>
    <t>BALANCE DE PRUEBA O COMPROBACIÓN</t>
  </si>
  <si>
    <t>(en Balboas)</t>
  </si>
  <si>
    <t>NOMBRE DE LA CUENTA</t>
  </si>
  <si>
    <t>TOTALES</t>
  </si>
  <si>
    <t>Fechas</t>
  </si>
  <si>
    <t>Enunciado</t>
  </si>
  <si>
    <t>Fecha: 28/05/2026</t>
  </si>
  <si>
    <t>Capital</t>
  </si>
  <si>
    <t>Banco</t>
  </si>
  <si>
    <t>Caja Menuda</t>
  </si>
  <si>
    <t>Gasto - ITBMS</t>
  </si>
  <si>
    <t>Tesoro Nacional - ITBMS</t>
  </si>
  <si>
    <t>CAJA MENUDA</t>
  </si>
  <si>
    <t>CUENTA POR COBRAR</t>
  </si>
  <si>
    <t>.</t>
  </si>
  <si>
    <t>Cuenta Por Cobrar</t>
  </si>
  <si>
    <t>Cuenta por Pagar</t>
  </si>
  <si>
    <t>Enunciado General:</t>
  </si>
  <si>
    <t>La empresa SMART DEVELOPERS S.A. inicia operaciones el 1 de mayo. Su actividad comercial es el desarrollo de plataformas e-commerce y pasarelas de pago. Su gerente es el Ing. Roberto Martínez. Su Diario General inicia en la Página N° 30.</t>
  </si>
  <si>
    <t>El Ing. Martínez realiza la apertura de la cuenta corriente en el Banco Nacional de Panamá con un capital de B/. 135,000.00.</t>
  </si>
  <si>
    <t>Apertura del fondo de caja menuda por B/. 350.00 mediante el cheque No. 0401.</t>
  </si>
  <si>
    <t>Se alquila un local para oficinas comerciales pagando dos meses por adelantado a razón de B/. 750.00 por mes (Total: B/. 1,500.00, exento de ITBMS) con el cheque No. 0402.</t>
  </si>
  <si>
    <t>Se compra equipo de computación a CyberWorld por B/. 5,300.00 más el 7% de ITBMS, pagando el 50% con el cheque No. 0403 y el saldo a crédito.</t>
  </si>
  <si>
    <t>Venta de un sistema web integral a Distribuidora del Centro por B/. 9,600.00 más el 7% de ITBMS a crédito.</t>
  </si>
  <si>
    <t>Se cancela la planilla de salarios quincenal del equipo técnico por B/. 6,200.00 con el cheque No. 0404.</t>
  </si>
  <si>
    <t>Se recibe una transferencia bancaria del cliente Distribuidora del Centro por un abono de B/. 5,000.00 a su cuenta por cobrar del 14 de mayo.</t>
  </si>
  <si>
    <t>Se pagan servicios de papelería e insumos de oficina por B/. 380.00 (incluye el 7% de ITBMS) con el cheque No. 0405.</t>
  </si>
  <si>
    <t>Se liquida el saldo pendiente de la cuenta por pagar a CyberWorld (del 9 de mayo) con el cheque No. 0406.</t>
  </si>
  <si>
    <t>Se cancelan los servicios básicos: energía eléctrica B/. 410.00 y agua B/. 45.00 con el cheque No. 0407 (ambos montos incluyen el 7% de ITBMS).</t>
  </si>
  <si>
    <t xml:space="preserve">     Capital</t>
  </si>
  <si>
    <t>Apertura de cuenta corriente en el Banco Nacional de Panamá</t>
  </si>
  <si>
    <t xml:space="preserve">     Banco</t>
  </si>
  <si>
    <t>Apertura del fondo de la caja menuda mediante del cheque No. 0401</t>
  </si>
  <si>
    <t>Se alquila un local para oficinas comerciales mediante el cheque No. 0402</t>
  </si>
  <si>
    <t>Equipo de Oficina</t>
  </si>
  <si>
    <t xml:space="preserve">     Cuenta por Pagar</t>
  </si>
  <si>
    <t>Se registra compra equipo de computación a CyberWorld mediante el cheque No. 0403 y el saldo restante a credito</t>
  </si>
  <si>
    <t>Cuenta por pagar</t>
  </si>
  <si>
    <t xml:space="preserve">     Ingreso Ventas gravadas mas el 7%</t>
  </si>
  <si>
    <t>Se registra venta de sistema web integral a Distribuidora del Centro a credito</t>
  </si>
  <si>
    <t xml:space="preserve">     Tesoro Nacional - ITBMS</t>
  </si>
  <si>
    <t>Gasto - Salarios</t>
  </si>
  <si>
    <t>Se cancela la planilla de salarios quincena mediante el cheque No. 0404</t>
  </si>
  <si>
    <t xml:space="preserve">Gasto - Salarios </t>
  </si>
  <si>
    <t>Cuenta por cobrar</t>
  </si>
  <si>
    <t xml:space="preserve">     Cuenta Por cobrar</t>
  </si>
  <si>
    <t>Se recibe una transferencia bancaria del cliente Distribuidora del Centro a una cuenta por cobrar del 14 de mayo</t>
  </si>
  <si>
    <t>Se pagan servicios de papelería e insumos de oficina mediante el cheque No. 0405</t>
  </si>
  <si>
    <t>Gasto - Alquileres</t>
  </si>
  <si>
    <t>Gasto Electricidad</t>
  </si>
  <si>
    <t>Gasto - Agua</t>
  </si>
  <si>
    <t>Gasto -ITBMS</t>
  </si>
  <si>
    <t>Gasto - Electricidad</t>
  </si>
  <si>
    <t>Se cancelan los servicios básicos mediante el cheque No. 0407</t>
  </si>
  <si>
    <t>Se liquida el saldo pendiente de la cuenta por pagar a CyberWorld con el cheque No. 0406</t>
  </si>
  <si>
    <t>Gasto -Papelería y útiles de oficina</t>
  </si>
  <si>
    <t>Gasto - Papelería y útiles de oficina</t>
  </si>
  <si>
    <t>Mayo</t>
  </si>
  <si>
    <t>Mayoi</t>
  </si>
  <si>
    <t>Gasto Alquileres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</si>
</sst>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0.0"/>
    <numFmt numFmtId="166" formatCode="[$-F800]dddd\,\ mmmm\ dd\,\ yyyy"/>
    <numFmt numFmtId="167" formatCode="_(&quot;B/.&quot;\ * #,##0.00_);_(&quot;B/.&quot;\ * \(#,##0.00\);_(&quot;B/.&quot;\ * &quot;-&quot;??_);_(@_)"/>
    <numFmt numFmtId="168" formatCode="_-* #,##0.00\ _€_-;\-* #,##0.00\ _€_-;_-* &quot;-&quot;??\ _€_-;_-@_-"/>
    <numFmt numFmtId="169" formatCode="[$$-409]#,##0.00"/>
    <numFmt numFmtId="170" formatCode="[$$-540A]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FF0000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4" fontId="0" fillId="0" borderId="3" xfId="1" applyFont="1" applyBorder="1" applyAlignment="1"/>
    <xf numFmtId="164" fontId="0" fillId="0" borderId="4" xfId="1" applyFont="1" applyBorder="1" applyAlignment="1"/>
    <xf numFmtId="0" fontId="4" fillId="0" borderId="4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9" fillId="0" borderId="0" xfId="0" applyFont="1"/>
    <xf numFmtId="0" fontId="9" fillId="0" borderId="13" xfId="0" applyFont="1" applyBorder="1"/>
    <xf numFmtId="0" fontId="9" fillId="0" borderId="14" xfId="0" applyFont="1" applyBorder="1"/>
    <xf numFmtId="0" fontId="9" fillId="0" borderId="4" xfId="0" applyFont="1" applyBorder="1"/>
    <xf numFmtId="165" fontId="10" fillId="0" borderId="4" xfId="0" applyNumberFormat="1" applyFont="1" applyBorder="1" applyAlignment="1">
      <alignment horizontal="center"/>
    </xf>
    <xf numFmtId="0" fontId="10" fillId="0" borderId="4" xfId="0" applyFont="1" applyBorder="1"/>
    <xf numFmtId="165" fontId="10" fillId="0" borderId="17" xfId="0" applyNumberFormat="1" applyFont="1" applyBorder="1" applyAlignment="1">
      <alignment horizontal="center"/>
    </xf>
    <xf numFmtId="0" fontId="10" fillId="0" borderId="16" xfId="0" applyFont="1" applyBorder="1"/>
    <xf numFmtId="164" fontId="10" fillId="0" borderId="4" xfId="1" applyFont="1" applyBorder="1" applyAlignment="1"/>
    <xf numFmtId="164" fontId="0" fillId="0" borderId="4" xfId="1" applyFont="1" applyBorder="1" applyAlignment="1">
      <alignment horizontal="right"/>
    </xf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164" fontId="10" fillId="0" borderId="19" xfId="1" applyFont="1" applyBorder="1" applyAlignment="1"/>
    <xf numFmtId="0" fontId="10" fillId="0" borderId="20" xfId="0" applyFont="1" applyBorder="1"/>
    <xf numFmtId="0" fontId="9" fillId="0" borderId="22" xfId="0" applyFont="1" applyBorder="1"/>
    <xf numFmtId="0" fontId="9" fillId="0" borderId="23" xfId="0" applyFont="1" applyBorder="1"/>
    <xf numFmtId="164" fontId="10" fillId="0" borderId="0" xfId="1" applyFont="1" applyAlignment="1"/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1" fillId="0" borderId="0" xfId="0" applyFont="1"/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11" fillId="0" borderId="16" xfId="0" applyFont="1" applyBorder="1"/>
    <xf numFmtId="164" fontId="11" fillId="0" borderId="4" xfId="1" applyFont="1" applyBorder="1" applyAlignment="1"/>
    <xf numFmtId="164" fontId="11" fillId="0" borderId="17" xfId="1" applyFont="1" applyBorder="1" applyAlignment="1"/>
    <xf numFmtId="167" fontId="8" fillId="0" borderId="30" xfId="0" applyNumberFormat="1" applyFont="1" applyBorder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164" fontId="3" fillId="0" borderId="3" xfId="1" applyFont="1" applyBorder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Border="1" applyAlignment="1">
      <alignment vertical="center"/>
    </xf>
    <xf numFmtId="164" fontId="3" fillId="0" borderId="9" xfId="1" applyFont="1" applyBorder="1" applyAlignment="1">
      <alignment vertical="center"/>
    </xf>
    <xf numFmtId="164" fontId="6" fillId="0" borderId="9" xfId="1" applyFont="1" applyBorder="1" applyAlignment="1">
      <alignment horizontal="center" vertical="center"/>
    </xf>
    <xf numFmtId="164" fontId="3" fillId="0" borderId="0" xfId="1" applyFont="1" applyAlignment="1">
      <alignment horizontal="right" vertical="center"/>
    </xf>
    <xf numFmtId="164" fontId="4" fillId="0" borderId="9" xfId="1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1" applyFont="1" applyBorder="1" applyAlignment="1">
      <alignment vertical="center"/>
    </xf>
    <xf numFmtId="164" fontId="4" fillId="0" borderId="0" xfId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6" fillId="0" borderId="0" xfId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10" fillId="0" borderId="17" xfId="0" applyFont="1" applyBorder="1" applyAlignment="1">
      <alignment horizontal="center"/>
    </xf>
    <xf numFmtId="0" fontId="8" fillId="0" borderId="10" xfId="0" applyFont="1" applyBorder="1"/>
    <xf numFmtId="0" fontId="8" fillId="0" borderId="29" xfId="0" applyFont="1" applyBorder="1"/>
    <xf numFmtId="0" fontId="14" fillId="0" borderId="0" xfId="0" applyFont="1" applyAlignment="1">
      <alignment wrapText="1"/>
    </xf>
    <xf numFmtId="0" fontId="14" fillId="0" borderId="4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164" fontId="12" fillId="0" borderId="0" xfId="1" applyFont="1" applyBorder="1" applyAlignment="1">
      <alignment vertical="center"/>
    </xf>
    <xf numFmtId="164" fontId="3" fillId="0" borderId="7" xfId="1" applyFont="1" applyBorder="1" applyAlignment="1">
      <alignment vertical="center"/>
    </xf>
    <xf numFmtId="164" fontId="3" fillId="0" borderId="30" xfId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70" fontId="3" fillId="0" borderId="0" xfId="0" applyNumberFormat="1" applyFont="1" applyAlignment="1">
      <alignment horizontal="right" vertical="center"/>
    </xf>
    <xf numFmtId="164" fontId="3" fillId="0" borderId="6" xfId="1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169" fontId="3" fillId="0" borderId="5" xfId="0" applyNumberFormat="1" applyFont="1" applyBorder="1" applyAlignment="1">
      <alignment vertical="center"/>
    </xf>
    <xf numFmtId="164" fontId="3" fillId="0" borderId="21" xfId="1" applyFont="1" applyBorder="1" applyAlignment="1">
      <alignment horizontal="right" vertical="center"/>
    </xf>
    <xf numFmtId="164" fontId="3" fillId="0" borderId="5" xfId="1" applyFont="1" applyBorder="1" applyAlignment="1">
      <alignment horizontal="right" vertical="center"/>
    </xf>
    <xf numFmtId="164" fontId="3" fillId="0" borderId="21" xfId="1" applyFont="1" applyBorder="1" applyAlignment="1">
      <alignment vertical="center"/>
    </xf>
    <xf numFmtId="164" fontId="3" fillId="0" borderId="5" xfId="1" applyFont="1" applyBorder="1" applyAlignment="1">
      <alignment vertical="center"/>
    </xf>
    <xf numFmtId="164" fontId="4" fillId="0" borderId="21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4" fillId="0" borderId="30" xfId="0" applyNumberFormat="1" applyFont="1" applyBorder="1" applyAlignment="1">
      <alignment horizontal="center" vertical="center"/>
    </xf>
    <xf numFmtId="164" fontId="3" fillId="0" borderId="30" xfId="1" applyFont="1" applyBorder="1" applyAlignment="1">
      <alignment horizontal="right" vertical="center"/>
    </xf>
    <xf numFmtId="164" fontId="3" fillId="0" borderId="2" xfId="1" applyFont="1" applyBorder="1" applyAlignment="1">
      <alignment vertical="center"/>
    </xf>
    <xf numFmtId="164" fontId="3" fillId="0" borderId="30" xfId="0" applyNumberFormat="1" applyFont="1" applyBorder="1" applyAlignment="1">
      <alignment vertical="center"/>
    </xf>
    <xf numFmtId="164" fontId="4" fillId="0" borderId="30" xfId="1" applyFont="1" applyBorder="1" applyAlignment="1">
      <alignment vertical="center"/>
    </xf>
    <xf numFmtId="164" fontId="12" fillId="0" borderId="30" xfId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4" fontId="6" fillId="0" borderId="4" xfId="1" applyFont="1" applyBorder="1" applyAlignment="1">
      <alignment horizontal="center" vertical="center"/>
    </xf>
    <xf numFmtId="164" fontId="10" fillId="0" borderId="0" xfId="1" applyFont="1" applyBorder="1" applyAlignment="1"/>
    <xf numFmtId="0" fontId="11" fillId="0" borderId="31" xfId="0" applyFont="1" applyBorder="1"/>
    <xf numFmtId="164" fontId="0" fillId="0" borderId="0" xfId="0" applyNumberFormat="1"/>
    <xf numFmtId="170" fontId="3" fillId="0" borderId="4" xfId="0" applyNumberFormat="1" applyFont="1" applyBorder="1" applyAlignment="1">
      <alignment horizontal="right" vertical="center"/>
    </xf>
    <xf numFmtId="169" fontId="3" fillId="0" borderId="4" xfId="0" applyNumberFormat="1" applyFont="1" applyBorder="1" applyAlignment="1">
      <alignment vertical="center"/>
    </xf>
    <xf numFmtId="0" fontId="16" fillId="0" borderId="0" xfId="0" applyFont="1"/>
    <xf numFmtId="0" fontId="17" fillId="0" borderId="4" xfId="0" applyFont="1" applyBorder="1" applyAlignment="1">
      <alignment horizontal="justify" vertical="center"/>
    </xf>
    <xf numFmtId="0" fontId="18" fillId="0" borderId="4" xfId="0" applyFont="1" applyBorder="1" applyAlignment="1">
      <alignment horizontal="justify" vertical="center"/>
    </xf>
    <xf numFmtId="0" fontId="17" fillId="0" borderId="4" xfId="0" applyFont="1" applyBorder="1"/>
    <xf numFmtId="0" fontId="9" fillId="0" borderId="29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7" fillId="0" borderId="0" xfId="0" applyFont="1" applyAlignment="1">
      <alignment vertical="center"/>
    </xf>
    <xf numFmtId="164" fontId="4" fillId="0" borderId="0" xfId="1" applyFont="1" applyBorder="1" applyAlignment="1">
      <alignment horizontal="center" vertical="center"/>
    </xf>
    <xf numFmtId="4" fontId="3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6" fillId="0" borderId="0" xfId="1" applyFont="1" applyBorder="1" applyAlignment="1">
      <alignment vertical="center"/>
    </xf>
    <xf numFmtId="0" fontId="9" fillId="0" borderId="33" xfId="0" applyFont="1" applyBorder="1"/>
    <xf numFmtId="0" fontId="9" fillId="0" borderId="34" xfId="0" applyFont="1" applyBorder="1"/>
    <xf numFmtId="0" fontId="9" fillId="0" borderId="31" xfId="0" applyFont="1" applyBorder="1"/>
    <xf numFmtId="0" fontId="9" fillId="0" borderId="29" xfId="0" applyFont="1" applyBorder="1"/>
    <xf numFmtId="0" fontId="9" fillId="0" borderId="34" xfId="0" applyFont="1" applyBorder="1" applyAlignment="1">
      <alignment horizontal="center"/>
    </xf>
    <xf numFmtId="14" fontId="10" fillId="0" borderId="4" xfId="0" applyNumberFormat="1" applyFont="1" applyBorder="1"/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6" fontId="11" fillId="0" borderId="5" xfId="2" applyNumberFormat="1" applyFont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/>
    </xf>
    <xf numFmtId="17" fontId="17" fillId="0" borderId="4" xfId="0" applyNumberFormat="1" applyFont="1" applyBorder="1" applyAlignment="1">
      <alignment horizontal="justify" vertical="center"/>
    </xf>
    <xf numFmtId="0" fontId="19" fillId="0" borderId="4" xfId="0" applyFont="1" applyBorder="1" applyAlignment="1">
      <alignment wrapText="1"/>
    </xf>
    <xf numFmtId="0" fontId="19" fillId="0" borderId="4" xfId="0" applyFont="1" applyBorder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4" xfId="0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6CCE-AFE1-439A-B925-2B795F989916}">
  <dimension ref="A1:B16"/>
  <sheetViews>
    <sheetView zoomScale="87" zoomScaleNormal="87" workbookViewId="0">
      <selection activeCell="B10" sqref="B10"/>
    </sheetView>
  </sheetViews>
  <sheetFormatPr baseColWidth="10" defaultColWidth="9.140625" defaultRowHeight="15" x14ac:dyDescent="0.25"/>
  <cols>
    <col min="1" max="1" width="18.5703125" customWidth="1"/>
    <col min="2" max="2" width="142.5703125" bestFit="1" customWidth="1"/>
  </cols>
  <sheetData>
    <row r="1" spans="1:2" ht="15.75" x14ac:dyDescent="0.25">
      <c r="A1" s="99" t="s">
        <v>21</v>
      </c>
      <c r="B1" s="99" t="s">
        <v>22</v>
      </c>
    </row>
    <row r="2" spans="1:2" ht="18" x14ac:dyDescent="0.25">
      <c r="A2" s="155">
        <v>37012</v>
      </c>
      <c r="B2" s="156" t="s">
        <v>36</v>
      </c>
    </row>
    <row r="3" spans="1:2" ht="18" x14ac:dyDescent="0.25">
      <c r="A3" s="155">
        <v>37377</v>
      </c>
      <c r="B3" s="156" t="s">
        <v>37</v>
      </c>
    </row>
    <row r="4" spans="1:2" ht="30.75" x14ac:dyDescent="0.25">
      <c r="A4" s="155">
        <v>38473</v>
      </c>
      <c r="B4" s="156" t="s">
        <v>38</v>
      </c>
    </row>
    <row r="5" spans="1:2" ht="30.75" x14ac:dyDescent="0.25">
      <c r="A5" s="155">
        <v>39934</v>
      </c>
      <c r="B5" s="156" t="s">
        <v>39</v>
      </c>
    </row>
    <row r="6" spans="1:2" ht="18" x14ac:dyDescent="0.25">
      <c r="A6" s="155">
        <v>41760</v>
      </c>
      <c r="B6" s="156" t="s">
        <v>40</v>
      </c>
    </row>
    <row r="7" spans="1:2" ht="18" x14ac:dyDescent="0.25">
      <c r="A7" s="155">
        <v>42125</v>
      </c>
      <c r="B7" s="156" t="s">
        <v>41</v>
      </c>
    </row>
    <row r="8" spans="1:2" ht="30.75" x14ac:dyDescent="0.25">
      <c r="A8" s="155">
        <v>44682</v>
      </c>
      <c r="B8" s="156" t="s">
        <v>42</v>
      </c>
    </row>
    <row r="9" spans="1:2" ht="18" x14ac:dyDescent="0.25">
      <c r="A9" s="155">
        <v>46143</v>
      </c>
      <c r="B9" s="157" t="s">
        <v>43</v>
      </c>
    </row>
    <row r="10" spans="1:2" ht="18" x14ac:dyDescent="0.25">
      <c r="A10" s="155">
        <v>47239</v>
      </c>
      <c r="B10" s="157" t="s">
        <v>44</v>
      </c>
    </row>
    <row r="11" spans="1:2" ht="30.75" x14ac:dyDescent="0.25">
      <c r="A11" s="155">
        <v>47604</v>
      </c>
      <c r="B11" s="156" t="s">
        <v>45</v>
      </c>
    </row>
    <row r="12" spans="1:2" ht="18.75" x14ac:dyDescent="0.25">
      <c r="A12" s="100"/>
      <c r="B12" s="101"/>
    </row>
    <row r="13" spans="1:2" ht="18.75" x14ac:dyDescent="0.25">
      <c r="A13" s="102"/>
      <c r="B13" s="101"/>
    </row>
    <row r="16" spans="1:2" ht="30" x14ac:dyDescent="0.25">
      <c r="A16" s="154" t="s">
        <v>34</v>
      </c>
      <c r="B16" s="15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7CAF-01BE-4A9C-A23F-80B0597A48D3}">
  <dimension ref="A1:P202"/>
  <sheetViews>
    <sheetView tabSelected="1" topLeftCell="A97" zoomScale="85" zoomScaleNormal="85" workbookViewId="0">
      <selection activeCell="O111" sqref="O111"/>
    </sheetView>
  </sheetViews>
  <sheetFormatPr baseColWidth="10" defaultColWidth="9.140625" defaultRowHeight="15" x14ac:dyDescent="0.25"/>
  <cols>
    <col min="3" max="3" width="10.140625" customWidth="1"/>
    <col min="5" max="5" width="16.7109375" customWidth="1"/>
    <col min="9" max="9" width="10.140625" bestFit="1" customWidth="1"/>
    <col min="11" max="11" width="16.28515625" customWidth="1"/>
  </cols>
  <sheetData>
    <row r="1" spans="1:16" ht="18.75" x14ac:dyDescent="0.3">
      <c r="A1" s="140" t="s">
        <v>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4"/>
      <c r="N1" s="4"/>
      <c r="O1" s="4"/>
      <c r="P1" s="4"/>
    </row>
    <row r="2" spans="1:16" ht="18.75" x14ac:dyDescent="0.3">
      <c r="A2" s="140"/>
      <c r="B2" s="140"/>
      <c r="C2" s="140"/>
      <c r="D2" s="140"/>
      <c r="E2" s="140"/>
      <c r="F2" s="140"/>
      <c r="G2" s="140"/>
      <c r="H2" s="140"/>
      <c r="I2" s="4"/>
      <c r="J2" s="4"/>
      <c r="M2" s="4"/>
      <c r="N2" s="4"/>
      <c r="O2" s="4"/>
      <c r="P2" s="4" t="s">
        <v>8</v>
      </c>
    </row>
    <row r="3" spans="1:16" ht="19.5" thickBot="1" x14ac:dyDescent="0.35">
      <c r="A3" s="146" t="s">
        <v>29</v>
      </c>
      <c r="B3" s="146"/>
      <c r="C3" s="146"/>
      <c r="D3" s="146"/>
      <c r="E3" s="146"/>
      <c r="F3" s="146"/>
      <c r="G3" s="146"/>
      <c r="H3" s="146"/>
      <c r="I3" s="140" t="s">
        <v>7</v>
      </c>
      <c r="J3" s="140"/>
      <c r="K3" s="24">
        <v>100</v>
      </c>
      <c r="L3" s="25"/>
      <c r="M3" s="5"/>
      <c r="N3" s="5"/>
      <c r="O3" s="5"/>
      <c r="P3" s="6" t="s">
        <v>9</v>
      </c>
    </row>
    <row r="4" spans="1:16" ht="17.25" x14ac:dyDescent="0.3">
      <c r="A4" s="7" t="s">
        <v>2</v>
      </c>
      <c r="B4" s="8"/>
      <c r="C4" s="8" t="s">
        <v>3</v>
      </c>
      <c r="D4" s="8" t="s">
        <v>10</v>
      </c>
      <c r="E4" s="141" t="s">
        <v>11</v>
      </c>
      <c r="F4" s="141"/>
      <c r="G4" s="8" t="s">
        <v>2</v>
      </c>
      <c r="H4" s="8"/>
      <c r="I4" s="8" t="s">
        <v>3</v>
      </c>
      <c r="J4" s="8" t="s">
        <v>10</v>
      </c>
      <c r="K4" s="141" t="s">
        <v>12</v>
      </c>
      <c r="L4" s="142"/>
      <c r="M4" s="6"/>
      <c r="N4" s="6"/>
      <c r="O4" s="6"/>
      <c r="P4" s="6" t="s">
        <v>13</v>
      </c>
    </row>
    <row r="5" spans="1:16" ht="17.25" x14ac:dyDescent="0.3">
      <c r="A5" s="11" t="s">
        <v>74</v>
      </c>
      <c r="B5" s="9">
        <v>5</v>
      </c>
      <c r="C5" s="9"/>
      <c r="D5" s="9">
        <v>30</v>
      </c>
      <c r="E5" s="1">
        <v>350</v>
      </c>
      <c r="F5" s="10"/>
      <c r="G5" s="11"/>
      <c r="H5" s="11"/>
      <c r="I5" s="9"/>
      <c r="J5" s="9"/>
      <c r="K5" s="2"/>
      <c r="L5" s="12"/>
      <c r="M5" s="6"/>
      <c r="N5" s="6"/>
      <c r="O5" s="6"/>
      <c r="P5" s="6" t="s">
        <v>14</v>
      </c>
    </row>
    <row r="6" spans="1:16" ht="17.25" x14ac:dyDescent="0.3">
      <c r="A6" s="116"/>
      <c r="B6" s="11"/>
      <c r="C6" s="11"/>
      <c r="D6" s="11"/>
      <c r="E6" s="14"/>
      <c r="F6" s="11"/>
      <c r="G6" s="11"/>
      <c r="H6" s="64"/>
      <c r="I6" s="11"/>
      <c r="J6" s="9"/>
      <c r="K6" s="15"/>
      <c r="L6" s="12"/>
      <c r="M6" s="5"/>
      <c r="N6" s="5"/>
      <c r="O6" s="5"/>
      <c r="P6" s="6" t="s">
        <v>15</v>
      </c>
    </row>
    <row r="7" spans="1:16" ht="17.25" x14ac:dyDescent="0.3">
      <c r="A7" s="13"/>
      <c r="B7" s="11"/>
      <c r="C7" s="11"/>
      <c r="D7" s="11"/>
      <c r="E7" s="14"/>
      <c r="F7" s="11"/>
      <c r="G7" s="11"/>
      <c r="H7" s="64"/>
      <c r="I7" s="11"/>
      <c r="J7" s="9"/>
      <c r="K7" s="2"/>
      <c r="L7" s="12"/>
      <c r="M7" s="5"/>
      <c r="N7" s="5"/>
      <c r="O7" s="5"/>
      <c r="P7" s="6" t="s">
        <v>16</v>
      </c>
    </row>
    <row r="8" spans="1:16" ht="17.25" x14ac:dyDescent="0.3">
      <c r="A8" s="13"/>
      <c r="B8" s="11"/>
      <c r="C8" s="11"/>
      <c r="D8" s="11"/>
      <c r="E8" s="14"/>
      <c r="F8" s="11"/>
      <c r="G8" s="11"/>
      <c r="H8" s="11"/>
      <c r="I8" s="11"/>
      <c r="J8" s="11"/>
      <c r="K8" s="14"/>
      <c r="L8" s="16"/>
      <c r="M8" s="5"/>
      <c r="N8" s="5"/>
      <c r="O8" s="5"/>
      <c r="P8" s="5"/>
    </row>
    <row r="9" spans="1:16" ht="17.25" x14ac:dyDescent="0.3">
      <c r="A9" s="13"/>
      <c r="B9" s="11"/>
      <c r="C9" s="11"/>
      <c r="D9" s="11"/>
      <c r="E9" s="14"/>
      <c r="F9" s="11"/>
      <c r="G9" s="11"/>
      <c r="H9" s="11"/>
      <c r="I9" s="11"/>
      <c r="J9" s="11"/>
      <c r="K9" s="14"/>
      <c r="L9" s="16"/>
      <c r="M9" s="5"/>
      <c r="N9" s="5"/>
      <c r="O9" s="5"/>
      <c r="P9" s="5"/>
    </row>
    <row r="10" spans="1:16" ht="17.25" x14ac:dyDescent="0.3">
      <c r="A10" s="13"/>
      <c r="B10" s="11"/>
      <c r="C10" s="11"/>
      <c r="D10" s="11"/>
      <c r="E10" s="14"/>
      <c r="F10" s="11"/>
      <c r="G10" s="11"/>
      <c r="H10" s="11"/>
      <c r="I10" s="11"/>
      <c r="J10" s="11"/>
      <c r="K10" s="14"/>
      <c r="L10" s="16"/>
      <c r="M10" s="5"/>
      <c r="N10" s="5"/>
      <c r="O10" s="5"/>
      <c r="P10" s="5"/>
    </row>
    <row r="11" spans="1:16" ht="17.25" x14ac:dyDescent="0.3">
      <c r="A11" s="13"/>
      <c r="B11" s="11"/>
      <c r="C11" s="11"/>
      <c r="D11" s="11"/>
      <c r="E11" s="14"/>
      <c r="F11" s="11"/>
      <c r="G11" s="11"/>
      <c r="H11" s="11"/>
      <c r="I11" s="11"/>
      <c r="J11" s="11"/>
      <c r="K11" s="14"/>
      <c r="L11" s="16"/>
      <c r="M11" s="5"/>
      <c r="N11" s="5"/>
      <c r="O11" s="5"/>
      <c r="P11" s="5"/>
    </row>
    <row r="12" spans="1:16" ht="18" thickBot="1" x14ac:dyDescent="0.35">
      <c r="A12" s="17"/>
      <c r="B12" s="18"/>
      <c r="C12" s="18"/>
      <c r="D12" s="18"/>
      <c r="E12" s="19"/>
      <c r="F12" s="18"/>
      <c r="G12" s="18"/>
      <c r="H12" s="18"/>
      <c r="I12" s="18"/>
      <c r="J12" s="18"/>
      <c r="K12" s="19"/>
      <c r="L12" s="20"/>
      <c r="M12" s="5"/>
      <c r="N12" s="5"/>
      <c r="O12" s="5"/>
      <c r="P12" s="5"/>
    </row>
    <row r="13" spans="1:16" ht="17.25" x14ac:dyDescent="0.3">
      <c r="A13" s="143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5"/>
      <c r="M13" s="5"/>
      <c r="N13" s="5"/>
      <c r="O13" s="5"/>
      <c r="P13" s="5"/>
    </row>
    <row r="14" spans="1:16" ht="19.5" thickBot="1" x14ac:dyDescent="0.35">
      <c r="A14" s="140" t="s">
        <v>25</v>
      </c>
      <c r="B14" s="140"/>
      <c r="C14" s="140"/>
      <c r="D14" s="140"/>
      <c r="E14" s="140"/>
      <c r="F14" s="140"/>
      <c r="G14" s="140"/>
      <c r="H14" s="140"/>
      <c r="I14" s="140" t="s">
        <v>7</v>
      </c>
      <c r="J14" s="140"/>
      <c r="K14" s="159">
        <v>101</v>
      </c>
      <c r="L14" s="160"/>
      <c r="M14" s="5"/>
      <c r="N14" s="5"/>
      <c r="O14" s="5"/>
      <c r="P14" s="5"/>
    </row>
    <row r="15" spans="1:16" ht="18" thickBot="1" x14ac:dyDescent="0.35">
      <c r="A15" s="21" t="s">
        <v>2</v>
      </c>
      <c r="B15" s="22"/>
      <c r="C15" s="22" t="s">
        <v>3</v>
      </c>
      <c r="D15" s="22" t="s">
        <v>10</v>
      </c>
      <c r="E15" s="141" t="s">
        <v>11</v>
      </c>
      <c r="F15" s="147"/>
      <c r="G15" s="22" t="s">
        <v>2</v>
      </c>
      <c r="H15" s="9"/>
      <c r="I15" s="9" t="s">
        <v>3</v>
      </c>
      <c r="J15" s="9" t="s">
        <v>10</v>
      </c>
      <c r="K15" s="137" t="s">
        <v>12</v>
      </c>
      <c r="L15" s="137"/>
      <c r="M15" s="5"/>
      <c r="N15" s="5"/>
      <c r="O15" s="5"/>
      <c r="P15" s="5"/>
    </row>
    <row r="16" spans="1:16" ht="17.25" x14ac:dyDescent="0.3">
      <c r="A16" s="11" t="s">
        <v>74</v>
      </c>
      <c r="B16" s="38">
        <v>1</v>
      </c>
      <c r="C16" s="9"/>
      <c r="D16" s="9">
        <v>30</v>
      </c>
      <c r="E16" s="44">
        <v>135000</v>
      </c>
      <c r="F16" s="10"/>
      <c r="G16" s="11" t="s">
        <v>74</v>
      </c>
      <c r="H16" s="55">
        <v>2</v>
      </c>
      <c r="I16" s="9"/>
      <c r="J16" s="9">
        <v>30</v>
      </c>
      <c r="K16" s="53">
        <v>350</v>
      </c>
      <c r="L16" s="10"/>
      <c r="M16" s="5"/>
      <c r="N16" s="5"/>
      <c r="O16" s="5"/>
      <c r="P16" s="5"/>
    </row>
    <row r="17" spans="1:16" ht="17.25" x14ac:dyDescent="0.3">
      <c r="A17" s="13"/>
      <c r="B17" s="38">
        <v>22</v>
      </c>
      <c r="C17" s="11"/>
      <c r="D17" s="9">
        <v>30</v>
      </c>
      <c r="E17" s="47">
        <v>5000</v>
      </c>
      <c r="F17" s="11"/>
      <c r="G17" s="11"/>
      <c r="H17" s="55">
        <v>5</v>
      </c>
      <c r="I17" s="11"/>
      <c r="J17" s="9">
        <v>30</v>
      </c>
      <c r="K17" s="53">
        <v>1500</v>
      </c>
      <c r="L17" s="10"/>
      <c r="M17" s="5"/>
      <c r="N17" s="5"/>
      <c r="O17" s="5"/>
      <c r="P17" s="5"/>
    </row>
    <row r="18" spans="1:16" ht="17.25" x14ac:dyDescent="0.3">
      <c r="A18" s="13"/>
      <c r="B18" s="11"/>
      <c r="C18" s="11"/>
      <c r="D18" s="11"/>
      <c r="E18" s="14"/>
      <c r="F18" s="11"/>
      <c r="G18" s="11"/>
      <c r="H18" s="55">
        <v>9</v>
      </c>
      <c r="I18" s="11"/>
      <c r="J18" s="9">
        <v>30</v>
      </c>
      <c r="K18" s="97">
        <f>(5300+5300*7%) *50%</f>
        <v>2835.5</v>
      </c>
      <c r="L18" s="10"/>
      <c r="M18" s="5"/>
      <c r="N18" s="5"/>
      <c r="O18" s="5"/>
      <c r="P18" s="5"/>
    </row>
    <row r="19" spans="1:16" ht="17.25" x14ac:dyDescent="0.3">
      <c r="A19" s="13"/>
      <c r="B19" s="11"/>
      <c r="C19" s="11"/>
      <c r="D19" s="11"/>
      <c r="E19" s="14"/>
      <c r="F19" s="11"/>
      <c r="G19" s="11"/>
      <c r="H19" s="55">
        <v>15</v>
      </c>
      <c r="I19" s="11"/>
      <c r="J19" s="9">
        <v>30</v>
      </c>
      <c r="K19" s="53">
        <v>6200</v>
      </c>
      <c r="L19" s="11"/>
      <c r="M19" s="5"/>
      <c r="N19" s="5"/>
      <c r="O19" s="5"/>
      <c r="P19" s="5"/>
    </row>
    <row r="20" spans="1:16" ht="17.25" x14ac:dyDescent="0.3">
      <c r="A20" s="13"/>
      <c r="B20" s="11"/>
      <c r="C20" s="11"/>
      <c r="D20" s="11"/>
      <c r="E20" s="14"/>
      <c r="F20" s="11"/>
      <c r="G20" s="11"/>
      <c r="H20" s="55">
        <v>26</v>
      </c>
      <c r="I20" s="11"/>
      <c r="J20" s="9">
        <v>30</v>
      </c>
      <c r="K20" s="53">
        <v>380</v>
      </c>
      <c r="L20" s="11"/>
      <c r="M20" s="5"/>
      <c r="N20" s="5"/>
      <c r="O20" s="5"/>
      <c r="P20" s="5"/>
    </row>
    <row r="21" spans="1:16" ht="17.25" x14ac:dyDescent="0.3">
      <c r="A21" s="13"/>
      <c r="B21" s="11"/>
      <c r="C21" s="11"/>
      <c r="D21" s="11"/>
      <c r="E21" s="14"/>
      <c r="F21" s="11"/>
      <c r="G21" s="11"/>
      <c r="H21" s="55">
        <v>29</v>
      </c>
      <c r="I21" s="11"/>
      <c r="J21" s="9">
        <v>30</v>
      </c>
      <c r="K21" s="53">
        <f>(5300+5300*7%) *50%</f>
        <v>2835.5</v>
      </c>
      <c r="L21" s="11"/>
      <c r="M21" s="5"/>
      <c r="N21" s="5"/>
      <c r="O21" s="5"/>
      <c r="P21" s="5"/>
    </row>
    <row r="22" spans="1:16" ht="17.25" x14ac:dyDescent="0.3">
      <c r="A22" s="13"/>
      <c r="B22" s="11"/>
      <c r="C22" s="11"/>
      <c r="D22" s="11"/>
      <c r="E22" s="14"/>
      <c r="F22" s="11"/>
      <c r="G22" s="11"/>
      <c r="H22" s="55">
        <v>30</v>
      </c>
      <c r="I22" s="11"/>
      <c r="J22" s="9">
        <v>30</v>
      </c>
      <c r="K22" s="53">
        <v>455</v>
      </c>
      <c r="L22" s="11"/>
      <c r="M22" s="5"/>
      <c r="N22" s="5"/>
      <c r="O22" s="5"/>
      <c r="P22" s="5"/>
    </row>
    <row r="23" spans="1:16" ht="17.25" x14ac:dyDescent="0.3">
      <c r="A23" s="13"/>
      <c r="B23" s="11"/>
      <c r="C23" s="11"/>
      <c r="D23" s="11"/>
      <c r="E23" s="14"/>
      <c r="F23" s="11"/>
      <c r="G23" s="11"/>
      <c r="H23" s="55"/>
      <c r="I23" s="11"/>
      <c r="J23" s="9"/>
      <c r="K23" s="53"/>
      <c r="L23" s="16"/>
      <c r="M23" s="5"/>
      <c r="N23" s="5"/>
      <c r="O23" s="5"/>
      <c r="P23" s="5"/>
    </row>
    <row r="24" spans="1:16" ht="17.25" x14ac:dyDescent="0.3">
      <c r="A24" s="13"/>
      <c r="B24" s="11"/>
      <c r="C24" s="11"/>
      <c r="D24" s="11"/>
      <c r="E24" s="14"/>
      <c r="F24" s="11"/>
      <c r="G24" s="11"/>
      <c r="H24" s="55"/>
      <c r="I24" s="11"/>
      <c r="J24" s="9"/>
      <c r="K24" s="98"/>
      <c r="L24" s="16"/>
      <c r="M24" s="5"/>
      <c r="N24" s="5"/>
      <c r="O24" s="5"/>
      <c r="P24" s="5"/>
    </row>
    <row r="25" spans="1:16" ht="17.25" x14ac:dyDescent="0.3">
      <c r="A25" s="13"/>
      <c r="B25" s="11"/>
      <c r="C25" s="11"/>
      <c r="D25" s="11"/>
      <c r="E25" s="14"/>
      <c r="F25" s="11"/>
      <c r="G25" s="11"/>
      <c r="H25" s="11"/>
      <c r="I25" s="11"/>
      <c r="J25" s="11"/>
      <c r="K25" s="14"/>
      <c r="L25" s="16"/>
      <c r="M25" s="5"/>
      <c r="N25" s="5"/>
      <c r="O25" s="5"/>
      <c r="P25" s="5"/>
    </row>
    <row r="26" spans="1:16" ht="17.25" x14ac:dyDescent="0.3">
      <c r="A26" s="13"/>
      <c r="B26" s="11"/>
      <c r="C26" s="11"/>
      <c r="D26" s="11"/>
      <c r="E26" s="14"/>
      <c r="F26" s="11"/>
      <c r="G26" s="11"/>
      <c r="H26" s="11"/>
      <c r="I26" s="11"/>
      <c r="J26" s="11"/>
      <c r="K26" s="14"/>
      <c r="L26" s="16"/>
      <c r="M26" s="5"/>
      <c r="N26" s="5"/>
      <c r="O26" s="5"/>
      <c r="P26" s="5"/>
    </row>
    <row r="27" spans="1:16" ht="17.25" x14ac:dyDescent="0.3">
      <c r="A27" s="13"/>
      <c r="B27" s="11"/>
      <c r="C27" s="11"/>
      <c r="D27" s="11"/>
      <c r="E27" s="14"/>
      <c r="F27" s="11"/>
      <c r="G27" s="11"/>
      <c r="H27" s="11"/>
      <c r="I27" s="11"/>
      <c r="J27" s="11"/>
      <c r="K27" s="14"/>
      <c r="L27" s="16"/>
      <c r="M27" s="5"/>
      <c r="N27" s="5"/>
      <c r="O27" s="5"/>
      <c r="P27" s="5"/>
    </row>
    <row r="28" spans="1:16" ht="17.25" x14ac:dyDescent="0.3">
      <c r="A28" s="13"/>
      <c r="B28" s="11"/>
      <c r="C28" s="11"/>
      <c r="D28" s="11"/>
      <c r="E28" s="14"/>
      <c r="F28" s="11"/>
      <c r="G28" s="11"/>
      <c r="H28" s="11"/>
      <c r="I28" s="11"/>
      <c r="J28" s="11"/>
      <c r="K28" s="14"/>
      <c r="L28" s="16"/>
      <c r="M28" s="5"/>
      <c r="N28" s="5"/>
      <c r="O28" s="5"/>
      <c r="P28" s="5"/>
    </row>
    <row r="29" spans="1:16" ht="17.2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18.75" x14ac:dyDescent="0.3">
      <c r="A30" s="128" t="s">
        <v>30</v>
      </c>
      <c r="B30" s="128"/>
      <c r="C30" s="128"/>
      <c r="D30" s="128"/>
      <c r="E30" s="128"/>
      <c r="F30" s="128"/>
      <c r="G30" s="128"/>
      <c r="H30" s="128"/>
      <c r="I30" s="128" t="s">
        <v>7</v>
      </c>
      <c r="J30" s="128"/>
      <c r="K30" s="129">
        <v>102</v>
      </c>
      <c r="L30" s="129"/>
      <c r="M30" s="5"/>
      <c r="N30" s="5"/>
      <c r="O30" s="5"/>
      <c r="P30" s="5"/>
    </row>
    <row r="31" spans="1:16" ht="18" thickBot="1" x14ac:dyDescent="0.35">
      <c r="A31" s="111" t="s">
        <v>2</v>
      </c>
      <c r="B31" s="112"/>
      <c r="C31" s="112" t="s">
        <v>3</v>
      </c>
      <c r="D31" s="112" t="s">
        <v>10</v>
      </c>
      <c r="E31" s="148" t="s">
        <v>11</v>
      </c>
      <c r="F31" s="149"/>
      <c r="G31" s="112" t="s">
        <v>2</v>
      </c>
      <c r="H31" s="112"/>
      <c r="I31" s="112" t="s">
        <v>3</v>
      </c>
      <c r="J31" s="112" t="s">
        <v>10</v>
      </c>
      <c r="K31" s="148" t="s">
        <v>12</v>
      </c>
      <c r="L31" s="150"/>
      <c r="M31" s="5"/>
      <c r="N31" s="5"/>
      <c r="O31" s="5"/>
      <c r="P31" s="5"/>
    </row>
    <row r="32" spans="1:16" ht="17.25" x14ac:dyDescent="0.3">
      <c r="A32" s="11" t="s">
        <v>74</v>
      </c>
      <c r="B32" s="11">
        <v>14</v>
      </c>
      <c r="C32" s="11"/>
      <c r="D32" s="9">
        <v>30</v>
      </c>
      <c r="E32" s="45">
        <f>9600+9600*7%</f>
        <v>10272</v>
      </c>
      <c r="F32" s="11"/>
      <c r="G32" s="11" t="s">
        <v>74</v>
      </c>
      <c r="H32" s="11">
        <v>22</v>
      </c>
      <c r="I32" s="11"/>
      <c r="J32" s="9">
        <v>30</v>
      </c>
      <c r="K32" s="47">
        <v>5000</v>
      </c>
      <c r="L32" s="16"/>
      <c r="M32" s="5"/>
      <c r="N32" s="5"/>
      <c r="O32" s="5"/>
      <c r="P32" s="5"/>
    </row>
    <row r="33" spans="1:16" ht="17.25" x14ac:dyDescent="0.3">
      <c r="A33" s="13"/>
      <c r="B33" s="11"/>
      <c r="C33" s="11"/>
      <c r="D33" s="11"/>
      <c r="E33" s="14"/>
      <c r="F33" s="11"/>
      <c r="G33" s="11"/>
      <c r="H33" s="11"/>
      <c r="I33" s="11"/>
      <c r="J33" s="11"/>
      <c r="K33" s="14"/>
      <c r="L33" s="16"/>
      <c r="M33" s="5"/>
      <c r="N33" s="5"/>
      <c r="O33" s="5"/>
      <c r="P33" s="5"/>
    </row>
    <row r="34" spans="1:16" ht="17.25" x14ac:dyDescent="0.3">
      <c r="A34" s="13"/>
      <c r="B34" s="11"/>
      <c r="C34" s="11"/>
      <c r="D34" s="11"/>
      <c r="E34" s="14"/>
      <c r="F34" s="11"/>
      <c r="G34" s="11"/>
      <c r="H34" s="11"/>
      <c r="I34" s="11"/>
      <c r="J34" s="11"/>
      <c r="K34" s="14"/>
      <c r="L34" s="16"/>
      <c r="M34" s="5"/>
      <c r="N34" s="5"/>
      <c r="O34" s="5"/>
      <c r="P34" s="5"/>
    </row>
    <row r="35" spans="1:16" ht="17.25" x14ac:dyDescent="0.3">
      <c r="A35" s="13"/>
      <c r="B35" s="11"/>
      <c r="C35" s="11"/>
      <c r="D35" s="11"/>
      <c r="E35" s="14"/>
      <c r="F35" s="11"/>
      <c r="G35" s="11"/>
      <c r="H35" s="11"/>
      <c r="I35" s="11"/>
      <c r="J35" s="11"/>
      <c r="K35" s="14"/>
      <c r="L35" s="16"/>
      <c r="M35" s="5"/>
      <c r="N35" s="5"/>
      <c r="O35" s="5"/>
      <c r="P35" s="5"/>
    </row>
    <row r="36" spans="1:16" ht="17.25" x14ac:dyDescent="0.3">
      <c r="A36" s="13"/>
      <c r="B36" s="11"/>
      <c r="C36" s="11"/>
      <c r="D36" s="11"/>
      <c r="E36" s="14"/>
      <c r="F36" s="11"/>
      <c r="G36" s="11"/>
      <c r="H36" s="11"/>
      <c r="I36" s="11"/>
      <c r="J36" s="11"/>
      <c r="K36" s="14"/>
      <c r="L36" s="16"/>
      <c r="M36" s="5"/>
      <c r="N36" s="5"/>
      <c r="O36" s="5"/>
      <c r="P36" s="5"/>
    </row>
    <row r="37" spans="1:16" ht="17.25" x14ac:dyDescent="0.3">
      <c r="A37" s="13"/>
      <c r="B37" s="11"/>
      <c r="C37" s="11"/>
      <c r="D37" s="11"/>
      <c r="E37" s="14"/>
      <c r="F37" s="11"/>
      <c r="G37" s="11"/>
      <c r="H37" s="11"/>
      <c r="I37" s="11"/>
      <c r="J37" s="11"/>
      <c r="K37" s="14"/>
      <c r="L37" s="16"/>
      <c r="M37" s="5"/>
      <c r="N37" s="5"/>
      <c r="O37" s="5"/>
      <c r="P37" s="5"/>
    </row>
    <row r="38" spans="1:16" ht="18" thickBot="1" x14ac:dyDescent="0.35">
      <c r="A38" s="17"/>
      <c r="B38" s="18"/>
      <c r="C38" s="18"/>
      <c r="D38" s="18"/>
      <c r="E38" s="19"/>
      <c r="F38" s="18"/>
      <c r="G38" s="18"/>
      <c r="H38" s="18"/>
      <c r="I38" s="18"/>
      <c r="J38" s="18"/>
      <c r="K38" s="19"/>
      <c r="L38" s="20"/>
      <c r="M38" s="5"/>
      <c r="N38" s="5"/>
      <c r="O38" s="5"/>
      <c r="P38" s="5"/>
    </row>
    <row r="39" spans="1:16" ht="17.25" x14ac:dyDescent="0.3">
      <c r="A39" s="5"/>
      <c r="B39" s="5"/>
      <c r="C39" s="5"/>
      <c r="D39" s="5"/>
      <c r="E39" s="94"/>
      <c r="F39" s="5"/>
      <c r="G39" s="5"/>
      <c r="H39" s="5"/>
      <c r="I39" s="5"/>
      <c r="J39" s="5"/>
      <c r="K39" s="94"/>
      <c r="L39" s="5"/>
      <c r="M39" s="5"/>
      <c r="N39" s="5"/>
      <c r="O39" s="5"/>
      <c r="P39" s="5"/>
    </row>
    <row r="40" spans="1:16" ht="18.75" x14ac:dyDescent="0.3">
      <c r="A40" s="137" t="s">
        <v>51</v>
      </c>
      <c r="B40" s="137"/>
      <c r="C40" s="137"/>
      <c r="D40" s="137"/>
      <c r="E40" s="137"/>
      <c r="F40" s="137"/>
      <c r="G40" s="137"/>
      <c r="H40" s="137"/>
      <c r="I40" s="128" t="s">
        <v>7</v>
      </c>
      <c r="J40" s="128"/>
      <c r="K40" s="129">
        <v>103</v>
      </c>
      <c r="L40" s="129"/>
      <c r="M40" s="5"/>
      <c r="N40" s="5"/>
      <c r="O40" s="5"/>
      <c r="P40" s="5"/>
    </row>
    <row r="41" spans="1:16" ht="17.25" x14ac:dyDescent="0.3">
      <c r="A41" s="113" t="s">
        <v>2</v>
      </c>
      <c r="B41" s="114"/>
      <c r="C41" s="114" t="s">
        <v>3</v>
      </c>
      <c r="D41" s="114" t="s">
        <v>10</v>
      </c>
      <c r="E41" s="134" t="s">
        <v>11</v>
      </c>
      <c r="F41" s="135"/>
      <c r="G41" s="114" t="s">
        <v>2</v>
      </c>
      <c r="H41" s="114"/>
      <c r="I41" s="114" t="s">
        <v>3</v>
      </c>
      <c r="J41" s="114" t="s">
        <v>10</v>
      </c>
      <c r="K41" s="134" t="s">
        <v>12</v>
      </c>
      <c r="L41" s="136"/>
      <c r="M41" s="5"/>
      <c r="N41" s="5"/>
      <c r="O41" s="5"/>
      <c r="P41" s="5"/>
    </row>
    <row r="42" spans="1:16" ht="17.25" x14ac:dyDescent="0.3">
      <c r="A42" s="11" t="s">
        <v>74</v>
      </c>
      <c r="B42" s="9">
        <v>9</v>
      </c>
      <c r="C42" s="9"/>
      <c r="D42" s="9">
        <v>30</v>
      </c>
      <c r="E42" s="44">
        <v>5300</v>
      </c>
      <c r="F42" s="10"/>
      <c r="G42" s="11"/>
      <c r="H42" s="11"/>
      <c r="I42" s="9"/>
      <c r="J42" s="9"/>
      <c r="K42" s="2"/>
      <c r="L42" s="12"/>
      <c r="M42" s="5"/>
      <c r="N42" s="5"/>
      <c r="O42" s="5"/>
      <c r="P42" s="5"/>
    </row>
    <row r="43" spans="1:16" ht="17.25" x14ac:dyDescent="0.3">
      <c r="A43" s="13"/>
      <c r="B43" s="11"/>
      <c r="C43" s="11"/>
      <c r="D43" s="11"/>
      <c r="E43" s="14"/>
      <c r="F43" s="11"/>
      <c r="G43" s="11"/>
      <c r="H43" s="64"/>
      <c r="I43" s="11"/>
      <c r="J43" s="9"/>
      <c r="K43" s="15"/>
      <c r="L43" s="12"/>
      <c r="M43" s="5"/>
      <c r="N43" s="5"/>
      <c r="O43" s="5"/>
      <c r="P43" s="5"/>
    </row>
    <row r="44" spans="1:16" ht="17.25" x14ac:dyDescent="0.3">
      <c r="A44" s="13"/>
      <c r="B44" s="11"/>
      <c r="C44" s="11"/>
      <c r="D44" s="11"/>
      <c r="E44" s="14"/>
      <c r="F44" s="11"/>
      <c r="G44" s="11"/>
      <c r="H44" s="64"/>
      <c r="I44" s="11"/>
      <c r="J44" s="9"/>
      <c r="K44" s="2"/>
      <c r="L44" s="12"/>
      <c r="M44" s="5"/>
      <c r="N44" s="5"/>
      <c r="O44" s="5"/>
      <c r="P44" s="5"/>
    </row>
    <row r="45" spans="1:16" ht="17.25" x14ac:dyDescent="0.3">
      <c r="A45" s="13"/>
      <c r="B45" s="11"/>
      <c r="C45" s="11"/>
      <c r="D45" s="11"/>
      <c r="E45" s="14"/>
      <c r="F45" s="11"/>
      <c r="G45" s="11"/>
      <c r="H45" s="11"/>
      <c r="I45" s="11"/>
      <c r="J45" s="11"/>
      <c r="K45" s="14"/>
      <c r="L45" s="16"/>
      <c r="M45" s="5"/>
      <c r="N45" s="5"/>
      <c r="O45" s="5"/>
      <c r="P45" s="5"/>
    </row>
    <row r="46" spans="1:16" ht="17.25" x14ac:dyDescent="0.3">
      <c r="A46" s="13"/>
      <c r="B46" s="11"/>
      <c r="C46" s="11"/>
      <c r="D46" s="11"/>
      <c r="E46" s="14"/>
      <c r="F46" s="11"/>
      <c r="G46" s="11"/>
      <c r="H46" s="11"/>
      <c r="I46" s="11"/>
      <c r="J46" s="11"/>
      <c r="K46" s="14"/>
      <c r="L46" s="16"/>
      <c r="M46" s="5"/>
      <c r="N46" s="5"/>
      <c r="O46" s="5"/>
      <c r="P46" s="5"/>
    </row>
    <row r="47" spans="1:16" ht="17.25" x14ac:dyDescent="0.3">
      <c r="A47" s="13"/>
      <c r="B47" s="11"/>
      <c r="C47" s="11"/>
      <c r="D47" s="11"/>
      <c r="E47" s="14"/>
      <c r="F47" s="11"/>
      <c r="G47" s="11"/>
      <c r="H47" s="11"/>
      <c r="I47" s="11"/>
      <c r="J47" s="11"/>
      <c r="K47" s="14"/>
      <c r="L47" s="16"/>
      <c r="M47" s="5"/>
      <c r="N47" s="5"/>
      <c r="O47" s="5"/>
      <c r="P47" s="5"/>
    </row>
    <row r="48" spans="1:16" ht="17.25" x14ac:dyDescent="0.3">
      <c r="A48" s="13"/>
      <c r="B48" s="11"/>
      <c r="C48" s="11"/>
      <c r="D48" s="11"/>
      <c r="E48" s="14"/>
      <c r="F48" s="11"/>
      <c r="G48" s="11"/>
      <c r="H48" s="11"/>
      <c r="I48" s="11"/>
      <c r="J48" s="11"/>
      <c r="K48" s="14"/>
      <c r="L48" s="16"/>
      <c r="M48" s="5"/>
      <c r="N48" s="5"/>
      <c r="O48" s="5"/>
      <c r="P48" s="5"/>
    </row>
    <row r="49" spans="1:16" ht="17.25" x14ac:dyDescent="0.3">
      <c r="A49" s="13"/>
      <c r="B49" s="11"/>
      <c r="C49" s="11"/>
      <c r="D49" s="11"/>
      <c r="E49" s="14"/>
      <c r="F49" s="11"/>
      <c r="G49" s="11"/>
      <c r="H49" s="11"/>
      <c r="I49" s="11"/>
      <c r="J49" s="11"/>
      <c r="K49" s="14"/>
      <c r="L49" s="16"/>
      <c r="M49" s="5"/>
      <c r="N49" s="5"/>
      <c r="O49" s="5"/>
      <c r="P49" s="5"/>
    </row>
    <row r="50" spans="1:16" ht="17.25" x14ac:dyDescent="0.3">
      <c r="A50" s="5"/>
      <c r="B50" s="5"/>
      <c r="C50" s="5"/>
      <c r="D50" s="5"/>
      <c r="E50" s="94"/>
      <c r="F50" s="5"/>
      <c r="G50" s="5"/>
      <c r="H50" s="5"/>
      <c r="I50" s="5"/>
      <c r="J50" s="5"/>
      <c r="K50" s="94"/>
      <c r="L50" s="5"/>
      <c r="M50" s="5"/>
      <c r="N50" s="5"/>
      <c r="O50" s="5"/>
      <c r="P50" s="5"/>
    </row>
    <row r="51" spans="1:16" ht="17.25" x14ac:dyDescent="0.3">
      <c r="A51" s="5"/>
      <c r="B51" s="5"/>
      <c r="C51" s="5"/>
      <c r="D51" s="5"/>
      <c r="E51" s="94"/>
      <c r="F51" s="5"/>
      <c r="G51" s="5"/>
      <c r="H51" s="5"/>
      <c r="I51" s="5"/>
      <c r="J51" s="5"/>
      <c r="K51" s="94"/>
      <c r="L51" s="5"/>
      <c r="M51" s="5"/>
      <c r="N51" s="5"/>
      <c r="O51" s="5"/>
      <c r="P51" s="5"/>
    </row>
    <row r="52" spans="1:16" ht="17.25" x14ac:dyDescent="0.3">
      <c r="A52" s="5"/>
      <c r="B52" s="5"/>
      <c r="C52" s="5"/>
      <c r="D52" s="5"/>
      <c r="E52" s="94"/>
      <c r="F52" s="5"/>
      <c r="G52" s="5"/>
      <c r="H52" s="5"/>
      <c r="I52" s="5"/>
      <c r="J52" s="5"/>
      <c r="K52" s="94"/>
      <c r="L52" s="5"/>
      <c r="M52" s="5"/>
      <c r="N52" s="5"/>
      <c r="O52" s="5"/>
      <c r="P52" s="5"/>
    </row>
    <row r="53" spans="1:16" ht="18.75" x14ac:dyDescent="0.3">
      <c r="A53" s="137" t="s">
        <v>33</v>
      </c>
      <c r="B53" s="137"/>
      <c r="C53" s="137"/>
      <c r="D53" s="137"/>
      <c r="E53" s="137"/>
      <c r="F53" s="137"/>
      <c r="G53" s="137"/>
      <c r="H53" s="137"/>
      <c r="I53" s="128" t="s">
        <v>7</v>
      </c>
      <c r="J53" s="128"/>
      <c r="K53" s="129">
        <v>200</v>
      </c>
      <c r="L53" s="129"/>
      <c r="M53" s="5"/>
      <c r="N53" s="5"/>
      <c r="O53" s="5"/>
      <c r="P53" s="5"/>
    </row>
    <row r="54" spans="1:16" ht="17.25" x14ac:dyDescent="0.3">
      <c r="A54" s="113" t="s">
        <v>2</v>
      </c>
      <c r="B54" s="114"/>
      <c r="C54" s="114" t="s">
        <v>3</v>
      </c>
      <c r="D54" s="114" t="s">
        <v>10</v>
      </c>
      <c r="E54" s="134" t="s">
        <v>11</v>
      </c>
      <c r="F54" s="135"/>
      <c r="G54" s="114" t="s">
        <v>2</v>
      </c>
      <c r="H54" s="114"/>
      <c r="I54" s="114" t="s">
        <v>3</v>
      </c>
      <c r="J54" s="114" t="s">
        <v>10</v>
      </c>
      <c r="K54" s="134" t="s">
        <v>12</v>
      </c>
      <c r="L54" s="136"/>
      <c r="M54" s="5"/>
      <c r="N54" s="5"/>
      <c r="O54" s="5"/>
      <c r="P54" s="5"/>
    </row>
    <row r="55" spans="1:16" ht="17.25" x14ac:dyDescent="0.3">
      <c r="A55" s="11" t="s">
        <v>75</v>
      </c>
      <c r="B55" s="9">
        <v>29</v>
      </c>
      <c r="C55" s="9"/>
      <c r="D55" s="9">
        <v>30</v>
      </c>
      <c r="E55" s="47">
        <f>(5300+5300*7%) *50%</f>
        <v>2835.5</v>
      </c>
      <c r="F55" s="10"/>
      <c r="G55" s="11" t="s">
        <v>74</v>
      </c>
      <c r="H55" s="11">
        <v>9</v>
      </c>
      <c r="I55" s="9"/>
      <c r="J55" s="9">
        <v>30</v>
      </c>
      <c r="K55" s="47">
        <f>(5300+5300*7%) *50%</f>
        <v>2835.5</v>
      </c>
      <c r="L55" s="12"/>
      <c r="M55" s="5"/>
      <c r="N55" s="5"/>
      <c r="O55" s="5"/>
      <c r="P55" s="5"/>
    </row>
    <row r="56" spans="1:16" ht="17.25" x14ac:dyDescent="0.3">
      <c r="A56" s="13"/>
      <c r="B56" s="11"/>
      <c r="C56" s="11"/>
      <c r="D56" s="11"/>
      <c r="E56" s="14"/>
      <c r="F56" s="11"/>
      <c r="G56" s="11"/>
      <c r="H56" s="64"/>
      <c r="I56" s="11"/>
      <c r="J56" s="9"/>
      <c r="K56" s="15"/>
      <c r="L56" s="12"/>
      <c r="M56" s="5"/>
      <c r="N56" s="5"/>
      <c r="O56" s="5"/>
      <c r="P56" s="5"/>
    </row>
    <row r="57" spans="1:16" ht="17.25" x14ac:dyDescent="0.3">
      <c r="A57" s="13"/>
      <c r="B57" s="11"/>
      <c r="C57" s="11"/>
      <c r="D57" s="11"/>
      <c r="E57" s="14"/>
      <c r="F57" s="11"/>
      <c r="G57" s="11"/>
      <c r="H57" s="64"/>
      <c r="I57" s="11"/>
      <c r="J57" s="9"/>
      <c r="K57" s="2"/>
      <c r="L57" s="12"/>
      <c r="M57" s="5"/>
      <c r="N57" s="5"/>
      <c r="O57" s="5"/>
      <c r="P57" s="5"/>
    </row>
    <row r="58" spans="1:16" ht="17.25" x14ac:dyDescent="0.3">
      <c r="A58" s="13"/>
      <c r="B58" s="11"/>
      <c r="C58" s="11"/>
      <c r="D58" s="11"/>
      <c r="E58" s="14"/>
      <c r="F58" s="11"/>
      <c r="G58" s="11"/>
      <c r="H58" s="11"/>
      <c r="I58" s="11"/>
      <c r="J58" s="11"/>
      <c r="K58" s="14"/>
      <c r="L58" s="16"/>
      <c r="M58" s="5"/>
      <c r="N58" s="5"/>
      <c r="O58" s="5"/>
      <c r="P58" s="5"/>
    </row>
    <row r="59" spans="1:16" ht="17.25" x14ac:dyDescent="0.3">
      <c r="A59" s="13"/>
      <c r="B59" s="11"/>
      <c r="C59" s="11"/>
      <c r="D59" s="11"/>
      <c r="E59" s="14"/>
      <c r="F59" s="11"/>
      <c r="G59" s="11"/>
      <c r="H59" s="11"/>
      <c r="I59" s="11"/>
      <c r="J59" s="11"/>
      <c r="K59" s="14"/>
      <c r="L59" s="16"/>
      <c r="M59" s="5"/>
      <c r="N59" s="5"/>
      <c r="O59" s="5"/>
      <c r="P59" s="5"/>
    </row>
    <row r="60" spans="1:16" ht="17.25" x14ac:dyDescent="0.3">
      <c r="A60" s="13"/>
      <c r="B60" s="11"/>
      <c r="C60" s="11"/>
      <c r="D60" s="11"/>
      <c r="E60" s="14"/>
      <c r="F60" s="11"/>
      <c r="G60" s="11"/>
      <c r="H60" s="11"/>
      <c r="I60" s="11"/>
      <c r="J60" s="11"/>
      <c r="K60" s="14"/>
      <c r="L60" s="16"/>
      <c r="M60" s="5"/>
      <c r="N60" s="5"/>
      <c r="O60" s="5"/>
      <c r="P60" s="5"/>
    </row>
    <row r="61" spans="1:16" ht="17.25" x14ac:dyDescent="0.3">
      <c r="A61" s="13"/>
      <c r="B61" s="11"/>
      <c r="C61" s="11"/>
      <c r="D61" s="11"/>
      <c r="E61" s="14"/>
      <c r="F61" s="11"/>
      <c r="G61" s="11"/>
      <c r="H61" s="11"/>
      <c r="I61" s="11"/>
      <c r="J61" s="11"/>
      <c r="K61" s="14"/>
      <c r="L61" s="16"/>
      <c r="M61" s="5"/>
      <c r="N61" s="5"/>
      <c r="O61" s="5"/>
      <c r="P61" s="5"/>
    </row>
    <row r="62" spans="1:16" ht="17.25" x14ac:dyDescent="0.3">
      <c r="A62" s="13"/>
      <c r="B62" s="11"/>
      <c r="C62" s="11"/>
      <c r="D62" s="11"/>
      <c r="E62" s="14"/>
      <c r="F62" s="11"/>
      <c r="G62" s="11"/>
      <c r="H62" s="11"/>
      <c r="I62" s="11"/>
      <c r="J62" s="11"/>
      <c r="K62" s="14"/>
      <c r="L62" s="16"/>
      <c r="M62" s="5"/>
      <c r="N62" s="5"/>
      <c r="O62" s="5"/>
      <c r="P62" s="5"/>
    </row>
    <row r="63" spans="1:16" ht="17.25" x14ac:dyDescent="0.3">
      <c r="A63" s="5"/>
      <c r="B63" s="5"/>
      <c r="C63" s="5"/>
      <c r="D63" s="5"/>
      <c r="E63" s="94"/>
      <c r="F63" s="5"/>
      <c r="G63" s="5"/>
      <c r="H63" s="5"/>
      <c r="I63" s="5"/>
      <c r="J63" s="5"/>
      <c r="K63" s="94"/>
      <c r="L63" s="5"/>
      <c r="M63" s="5"/>
      <c r="N63" s="5"/>
      <c r="O63" s="5"/>
      <c r="P63" s="5"/>
    </row>
    <row r="64" spans="1:16" ht="17.25" x14ac:dyDescent="0.3">
      <c r="A64" s="5"/>
      <c r="B64" s="5"/>
      <c r="C64" s="5"/>
      <c r="D64" s="5"/>
      <c r="E64" s="94"/>
      <c r="F64" s="5"/>
      <c r="G64" s="5"/>
      <c r="H64" s="5"/>
      <c r="I64" s="5"/>
      <c r="J64" s="5"/>
      <c r="K64" s="94"/>
      <c r="L64" s="5"/>
      <c r="M64" s="5"/>
      <c r="N64" s="5"/>
      <c r="O64" s="5"/>
      <c r="P64" s="5"/>
    </row>
    <row r="65" spans="1:16" ht="17.25" x14ac:dyDescent="0.3">
      <c r="A65" s="5"/>
      <c r="B65" s="5"/>
      <c r="C65" s="5"/>
      <c r="D65" s="5"/>
      <c r="E65" s="94"/>
      <c r="F65" s="5"/>
      <c r="G65" s="5"/>
      <c r="H65" s="5"/>
      <c r="I65" s="5"/>
      <c r="J65" s="5"/>
      <c r="K65" s="94"/>
      <c r="L65" s="5"/>
      <c r="M65" s="5"/>
      <c r="N65" s="5"/>
      <c r="O65" s="5"/>
      <c r="P65" s="5"/>
    </row>
    <row r="66" spans="1:16" ht="17.25" x14ac:dyDescent="0.3">
      <c r="A66" s="5"/>
      <c r="B66" s="5"/>
      <c r="C66" s="5"/>
      <c r="D66" s="5"/>
      <c r="E66" s="94"/>
      <c r="F66" s="5"/>
      <c r="G66" s="5"/>
      <c r="H66" s="5"/>
      <c r="I66" s="5"/>
      <c r="J66" s="5"/>
      <c r="K66" s="94"/>
      <c r="L66" s="5"/>
      <c r="M66" s="5"/>
      <c r="N66" s="5"/>
      <c r="O66" s="5"/>
      <c r="P66" s="5"/>
    </row>
    <row r="67" spans="1:16" ht="17.25" x14ac:dyDescent="0.3">
      <c r="A67" s="5"/>
      <c r="B67" s="5"/>
      <c r="C67" s="5"/>
      <c r="D67" s="5"/>
      <c r="E67" s="2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ht="18.75" x14ac:dyDescent="0.3">
      <c r="A68" s="128" t="s">
        <v>24</v>
      </c>
      <c r="B68" s="128"/>
      <c r="C68" s="128"/>
      <c r="D68" s="128"/>
      <c r="E68" s="128"/>
      <c r="F68" s="128"/>
      <c r="G68" s="128"/>
      <c r="H68" s="128"/>
      <c r="I68" s="128" t="s">
        <v>7</v>
      </c>
      <c r="J68" s="128"/>
      <c r="K68" s="129">
        <v>300</v>
      </c>
      <c r="L68" s="129"/>
      <c r="M68" s="5"/>
      <c r="N68" s="5"/>
      <c r="O68" s="5"/>
      <c r="P68" s="5"/>
    </row>
    <row r="69" spans="1:16" ht="18" thickBot="1" x14ac:dyDescent="0.35">
      <c r="A69" s="111" t="s">
        <v>2</v>
      </c>
      <c r="B69" s="112"/>
      <c r="C69" s="112" t="s">
        <v>3</v>
      </c>
      <c r="D69" s="112" t="s">
        <v>10</v>
      </c>
      <c r="E69" s="138" t="s">
        <v>11</v>
      </c>
      <c r="F69" s="138"/>
      <c r="G69" s="112" t="s">
        <v>2</v>
      </c>
      <c r="H69" s="112"/>
      <c r="I69" s="112" t="s">
        <v>3</v>
      </c>
      <c r="J69" s="112" t="s">
        <v>10</v>
      </c>
      <c r="K69" s="138" t="s">
        <v>12</v>
      </c>
      <c r="L69" s="139"/>
      <c r="M69" s="5"/>
      <c r="N69" s="5"/>
      <c r="O69" s="5"/>
      <c r="P69" s="5"/>
    </row>
    <row r="70" spans="1:16" ht="17.25" x14ac:dyDescent="0.3">
      <c r="A70" s="11"/>
      <c r="B70" s="11"/>
      <c r="C70" s="11"/>
      <c r="D70" s="9"/>
      <c r="E70" s="14"/>
      <c r="F70" s="11"/>
      <c r="G70" s="11" t="s">
        <v>74</v>
      </c>
      <c r="H70" s="11">
        <v>1</v>
      </c>
      <c r="I70" s="11"/>
      <c r="J70" s="9">
        <v>30</v>
      </c>
      <c r="K70" s="45">
        <v>135000</v>
      </c>
      <c r="L70" s="16"/>
      <c r="M70" s="5"/>
      <c r="N70" s="5"/>
      <c r="O70" s="5"/>
      <c r="P70" s="5"/>
    </row>
    <row r="71" spans="1:16" ht="17.25" x14ac:dyDescent="0.3">
      <c r="A71" s="11"/>
      <c r="B71" s="11"/>
      <c r="C71" s="11"/>
      <c r="D71" s="11"/>
      <c r="E71" s="14"/>
      <c r="F71" s="11"/>
      <c r="G71" s="11"/>
      <c r="H71" s="11"/>
      <c r="I71" s="11"/>
      <c r="J71" s="11"/>
      <c r="K71" s="14"/>
      <c r="L71" s="16"/>
      <c r="M71" s="5"/>
      <c r="N71" s="5"/>
      <c r="O71" s="5"/>
      <c r="P71" s="5"/>
    </row>
    <row r="72" spans="1:16" ht="17.25" x14ac:dyDescent="0.3">
      <c r="A72" s="13"/>
      <c r="B72" s="11"/>
      <c r="C72" s="11"/>
      <c r="D72" s="11"/>
      <c r="E72" s="14"/>
      <c r="F72" s="11"/>
      <c r="G72" s="11"/>
      <c r="H72" s="11"/>
      <c r="I72" s="11"/>
      <c r="J72" s="11"/>
      <c r="K72" s="14"/>
      <c r="L72" s="16"/>
      <c r="M72" s="5"/>
      <c r="N72" s="5"/>
      <c r="O72" s="5"/>
      <c r="P72" s="5"/>
    </row>
    <row r="73" spans="1:16" ht="17.25" x14ac:dyDescent="0.3">
      <c r="A73" s="13"/>
      <c r="B73" s="11"/>
      <c r="C73" s="11"/>
      <c r="D73" s="11"/>
      <c r="E73" s="14"/>
      <c r="F73" s="11"/>
      <c r="G73" s="11"/>
      <c r="H73" s="11"/>
      <c r="I73" s="11"/>
      <c r="J73" s="11"/>
      <c r="K73" s="14"/>
      <c r="L73" s="16"/>
      <c r="M73" s="5"/>
      <c r="N73" s="5"/>
      <c r="O73" s="5"/>
      <c r="P73" s="5"/>
    </row>
    <row r="74" spans="1:16" ht="17.25" x14ac:dyDescent="0.3">
      <c r="A74" s="13"/>
      <c r="B74" s="11"/>
      <c r="C74" s="11"/>
      <c r="D74" s="11"/>
      <c r="E74" s="14"/>
      <c r="F74" s="11"/>
      <c r="G74" s="11"/>
      <c r="H74" s="11"/>
      <c r="I74" s="11"/>
      <c r="J74" s="11"/>
      <c r="K74" s="14"/>
      <c r="L74" s="16"/>
      <c r="M74" s="5"/>
      <c r="N74" s="5"/>
      <c r="O74" s="5"/>
      <c r="P74" s="5"/>
    </row>
    <row r="75" spans="1:16" ht="17.25" x14ac:dyDescent="0.3">
      <c r="A75" s="13"/>
      <c r="B75" s="11"/>
      <c r="C75" s="11"/>
      <c r="D75" s="11"/>
      <c r="E75" s="14"/>
      <c r="F75" s="11"/>
      <c r="G75" s="11"/>
      <c r="H75" s="11"/>
      <c r="I75" s="11"/>
      <c r="J75" s="11"/>
      <c r="K75" s="14"/>
      <c r="L75" s="16"/>
      <c r="M75" s="5"/>
      <c r="N75" s="5"/>
      <c r="O75" s="5"/>
      <c r="P75" s="5"/>
    </row>
    <row r="76" spans="1:16" ht="17.25" x14ac:dyDescent="0.3">
      <c r="A76" s="13"/>
      <c r="B76" s="11"/>
      <c r="C76" s="11"/>
      <c r="D76" s="11"/>
      <c r="E76" s="14"/>
      <c r="F76" s="11"/>
      <c r="G76" s="11"/>
      <c r="H76" s="11"/>
      <c r="I76" s="11"/>
      <c r="J76" s="11"/>
      <c r="K76" s="14"/>
      <c r="L76" s="16"/>
      <c r="M76" s="5"/>
      <c r="N76" s="5"/>
      <c r="O76" s="5"/>
      <c r="P76" s="5"/>
    </row>
    <row r="77" spans="1:16" ht="17.25" x14ac:dyDescent="0.3">
      <c r="A77" s="13"/>
      <c r="B77" s="11"/>
      <c r="C77" s="11"/>
      <c r="D77" s="11"/>
      <c r="E77" s="14"/>
      <c r="F77" s="11"/>
      <c r="G77" s="11"/>
      <c r="H77" s="11"/>
      <c r="I77" s="11"/>
      <c r="J77" s="11"/>
      <c r="K77" s="14"/>
      <c r="L77" s="16"/>
      <c r="M77" s="5"/>
      <c r="N77" s="5"/>
      <c r="O77" s="5"/>
      <c r="P77" s="5"/>
    </row>
    <row r="78" spans="1:16" ht="18" thickBot="1" x14ac:dyDescent="0.35">
      <c r="A78" s="17"/>
      <c r="B78" s="18"/>
      <c r="C78" s="18"/>
      <c r="D78" s="18"/>
      <c r="E78" s="19"/>
      <c r="F78" s="18"/>
      <c r="G78" s="18"/>
      <c r="H78" s="18"/>
      <c r="I78" s="18"/>
      <c r="J78" s="18"/>
      <c r="K78" s="19"/>
      <c r="L78" s="20"/>
      <c r="M78" s="5"/>
      <c r="N78" s="5"/>
      <c r="O78" s="5"/>
      <c r="P78" s="5"/>
    </row>
    <row r="79" spans="1:16" ht="17.25" x14ac:dyDescent="0.3">
      <c r="A79" s="5"/>
      <c r="B79" s="5"/>
      <c r="C79" s="5"/>
      <c r="D79" s="5"/>
      <c r="E79" s="94"/>
      <c r="F79" s="5"/>
      <c r="G79" s="5"/>
      <c r="H79" s="5"/>
      <c r="I79" s="5"/>
      <c r="J79" s="5"/>
      <c r="K79" s="94"/>
      <c r="L79" s="5"/>
      <c r="M79" s="5"/>
      <c r="N79" s="5"/>
      <c r="O79" s="5"/>
      <c r="P79" s="5"/>
    </row>
    <row r="80" spans="1:16" ht="17.25" x14ac:dyDescent="0.3">
      <c r="A80" s="5"/>
      <c r="B80" s="5"/>
      <c r="C80" s="5"/>
      <c r="D80" s="5"/>
      <c r="E80" s="94"/>
      <c r="F80" s="5"/>
      <c r="G80" s="5"/>
      <c r="H80" s="5"/>
      <c r="I80" s="5"/>
      <c r="J80" s="5"/>
      <c r="K80" s="94"/>
      <c r="L80" s="5"/>
      <c r="M80" s="5"/>
      <c r="N80" s="5"/>
      <c r="O80" s="5"/>
      <c r="P80" s="5"/>
    </row>
    <row r="81" spans="1:16" ht="18.75" x14ac:dyDescent="0.3">
      <c r="A81" s="128" t="s">
        <v>58</v>
      </c>
      <c r="B81" s="128"/>
      <c r="C81" s="128"/>
      <c r="D81" s="128"/>
      <c r="E81" s="128"/>
      <c r="F81" s="128"/>
      <c r="G81" s="128"/>
      <c r="H81" s="128"/>
      <c r="I81" s="128" t="s">
        <v>7</v>
      </c>
      <c r="J81" s="128"/>
      <c r="K81" s="129">
        <v>600</v>
      </c>
      <c r="L81" s="129"/>
      <c r="M81" s="5"/>
      <c r="N81" s="5"/>
      <c r="O81" s="5"/>
      <c r="P81" s="5"/>
    </row>
    <row r="82" spans="1:16" ht="18" thickBot="1" x14ac:dyDescent="0.35">
      <c r="A82" s="111" t="s">
        <v>2</v>
      </c>
      <c r="B82" s="112"/>
      <c r="C82" s="112" t="s">
        <v>3</v>
      </c>
      <c r="D82" s="112" t="s">
        <v>10</v>
      </c>
      <c r="E82" s="138" t="s">
        <v>11</v>
      </c>
      <c r="F82" s="138"/>
      <c r="G82" s="112" t="s">
        <v>2</v>
      </c>
      <c r="H82" s="112"/>
      <c r="I82" s="112" t="s">
        <v>3</v>
      </c>
      <c r="J82" s="112" t="s">
        <v>10</v>
      </c>
      <c r="K82" s="138" t="s">
        <v>12</v>
      </c>
      <c r="L82" s="139"/>
      <c r="M82" s="5"/>
      <c r="N82" s="5"/>
      <c r="O82" s="5"/>
      <c r="P82" s="5"/>
    </row>
    <row r="83" spans="1:16" ht="17.25" x14ac:dyDescent="0.3">
      <c r="A83" s="11" t="s">
        <v>74</v>
      </c>
      <c r="B83" s="11">
        <v>15</v>
      </c>
      <c r="C83" s="11"/>
      <c r="D83" s="9">
        <v>30</v>
      </c>
      <c r="E83" s="14">
        <v>6200</v>
      </c>
      <c r="F83" s="11"/>
      <c r="G83" s="11"/>
      <c r="H83" s="11"/>
      <c r="I83" s="11"/>
      <c r="J83" s="9"/>
      <c r="K83" s="14"/>
      <c r="L83" s="16"/>
      <c r="M83" s="5"/>
      <c r="N83" s="5"/>
      <c r="O83" s="5"/>
      <c r="P83" s="5"/>
    </row>
    <row r="84" spans="1:16" ht="17.25" x14ac:dyDescent="0.3">
      <c r="A84" s="13"/>
      <c r="B84" s="11"/>
      <c r="C84" s="11"/>
      <c r="D84" s="11"/>
      <c r="E84" s="14"/>
      <c r="F84" s="11"/>
      <c r="G84" s="11"/>
      <c r="H84" s="11"/>
      <c r="I84" s="11"/>
      <c r="J84" s="11"/>
      <c r="K84" s="14"/>
      <c r="L84" s="16"/>
      <c r="M84" s="5"/>
      <c r="N84" s="5"/>
      <c r="O84" s="5"/>
      <c r="P84" s="5"/>
    </row>
    <row r="85" spans="1:16" ht="17.25" x14ac:dyDescent="0.3">
      <c r="A85" s="13"/>
      <c r="B85" s="11"/>
      <c r="C85" s="11"/>
      <c r="D85" s="11"/>
      <c r="E85" s="14"/>
      <c r="F85" s="11"/>
      <c r="G85" s="11"/>
      <c r="H85" s="11"/>
      <c r="I85" s="11"/>
      <c r="J85" s="11"/>
      <c r="K85" s="14"/>
      <c r="L85" s="16"/>
      <c r="M85" s="5"/>
      <c r="N85" s="5"/>
      <c r="O85" s="5"/>
      <c r="P85" s="5"/>
    </row>
    <row r="86" spans="1:16" ht="17.25" x14ac:dyDescent="0.3">
      <c r="A86" s="13"/>
      <c r="B86" s="11"/>
      <c r="C86" s="11"/>
      <c r="D86" s="11"/>
      <c r="E86" s="14"/>
      <c r="F86" s="11"/>
      <c r="G86" s="11"/>
      <c r="H86" s="11"/>
      <c r="I86" s="11"/>
      <c r="J86" s="11"/>
      <c r="K86" s="14"/>
      <c r="L86" s="16"/>
      <c r="M86" s="5"/>
      <c r="N86" s="5"/>
      <c r="O86" s="5"/>
      <c r="P86" s="5"/>
    </row>
    <row r="87" spans="1:16" ht="17.25" x14ac:dyDescent="0.3">
      <c r="A87" s="13"/>
      <c r="B87" s="11"/>
      <c r="C87" s="11"/>
      <c r="D87" s="11"/>
      <c r="E87" s="14"/>
      <c r="F87" s="11"/>
      <c r="G87" s="11"/>
      <c r="H87" s="11"/>
      <c r="I87" s="11"/>
      <c r="J87" s="11"/>
      <c r="K87" s="14"/>
      <c r="L87" s="16"/>
      <c r="M87" s="5"/>
      <c r="N87" s="5"/>
      <c r="O87" s="5"/>
      <c r="P87" s="5"/>
    </row>
    <row r="88" spans="1:16" ht="17.25" x14ac:dyDescent="0.3">
      <c r="A88" s="13"/>
      <c r="B88" s="11"/>
      <c r="C88" s="11"/>
      <c r="D88" s="11"/>
      <c r="E88" s="14"/>
      <c r="F88" s="11"/>
      <c r="G88" s="11"/>
      <c r="H88" s="11"/>
      <c r="I88" s="11"/>
      <c r="J88" s="11"/>
      <c r="K88" s="14"/>
      <c r="L88" s="16"/>
      <c r="M88" s="5"/>
      <c r="N88" s="5"/>
      <c r="O88" s="5"/>
      <c r="P88" s="5"/>
    </row>
    <row r="89" spans="1:16" ht="17.25" x14ac:dyDescent="0.3">
      <c r="A89" s="13"/>
      <c r="B89" s="11"/>
      <c r="C89" s="11"/>
      <c r="D89" s="11"/>
      <c r="E89" s="14"/>
      <c r="F89" s="11"/>
      <c r="G89" s="11"/>
      <c r="H89" s="11"/>
      <c r="I89" s="11"/>
      <c r="J89" s="11"/>
      <c r="K89" s="14"/>
      <c r="L89" s="16"/>
      <c r="M89" s="5"/>
      <c r="N89" s="5"/>
      <c r="O89" s="5"/>
      <c r="P89" s="5"/>
    </row>
    <row r="90" spans="1:16" ht="17.25" x14ac:dyDescent="0.3">
      <c r="A90" s="13"/>
      <c r="B90" s="11"/>
      <c r="C90" s="11"/>
      <c r="D90" s="11"/>
      <c r="E90" s="14"/>
      <c r="F90" s="11"/>
      <c r="G90" s="11"/>
      <c r="H90" s="11"/>
      <c r="I90" s="11"/>
      <c r="J90" s="11"/>
      <c r="K90" s="14"/>
      <c r="L90" s="16"/>
      <c r="M90" s="5"/>
      <c r="N90" s="5"/>
      <c r="O90" s="5"/>
      <c r="P90" s="5"/>
    </row>
    <row r="91" spans="1:16" ht="18" thickBot="1" x14ac:dyDescent="0.35">
      <c r="A91" s="17"/>
      <c r="B91" s="18"/>
      <c r="C91" s="18"/>
      <c r="D91" s="18"/>
      <c r="E91" s="19"/>
      <c r="F91" s="18"/>
      <c r="G91" s="18"/>
      <c r="H91" s="18"/>
      <c r="I91" s="18"/>
      <c r="J91" s="18"/>
      <c r="K91" s="19"/>
      <c r="L91" s="20"/>
      <c r="M91" s="5"/>
      <c r="N91" s="5"/>
      <c r="O91" s="5"/>
      <c r="P91" s="5"/>
    </row>
    <row r="92" spans="1:16" ht="17.25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 ht="17.25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 ht="18.75" x14ac:dyDescent="0.3">
      <c r="A94" s="132" t="s">
        <v>65</v>
      </c>
      <c r="B94" s="151"/>
      <c r="C94" s="151"/>
      <c r="D94" s="151"/>
      <c r="E94" s="151"/>
      <c r="F94" s="151"/>
      <c r="G94" s="151"/>
      <c r="H94" s="133"/>
      <c r="I94" s="128" t="s">
        <v>7</v>
      </c>
      <c r="J94" s="128"/>
      <c r="K94" s="129">
        <v>601</v>
      </c>
      <c r="L94" s="129"/>
      <c r="M94" s="5"/>
      <c r="N94" s="5"/>
      <c r="O94" s="5"/>
      <c r="P94" s="5"/>
    </row>
    <row r="95" spans="1:16" ht="18" thickBot="1" x14ac:dyDescent="0.35">
      <c r="A95" s="111" t="s">
        <v>2</v>
      </c>
      <c r="B95" s="112"/>
      <c r="C95" s="112" t="s">
        <v>3</v>
      </c>
      <c r="D95" s="112" t="s">
        <v>10</v>
      </c>
      <c r="E95" s="138" t="s">
        <v>11</v>
      </c>
      <c r="F95" s="138"/>
      <c r="G95" s="112" t="s">
        <v>2</v>
      </c>
      <c r="H95" s="112"/>
      <c r="I95" s="112" t="s">
        <v>3</v>
      </c>
      <c r="J95" s="112" t="s">
        <v>10</v>
      </c>
      <c r="K95" s="138" t="s">
        <v>12</v>
      </c>
      <c r="L95" s="139"/>
      <c r="M95" s="5"/>
      <c r="N95" s="5"/>
      <c r="O95" s="5"/>
      <c r="P95" s="5"/>
    </row>
    <row r="96" spans="1:16" ht="17.25" x14ac:dyDescent="0.3">
      <c r="A96" s="13" t="s">
        <v>74</v>
      </c>
      <c r="B96" s="11">
        <v>5</v>
      </c>
      <c r="C96" s="11"/>
      <c r="D96" s="9">
        <v>30</v>
      </c>
      <c r="E96" s="14">
        <v>1500</v>
      </c>
      <c r="F96" s="11"/>
      <c r="G96" s="11"/>
      <c r="H96" s="11"/>
      <c r="I96" s="11"/>
      <c r="J96" s="9"/>
      <c r="K96" s="14"/>
      <c r="L96" s="16"/>
      <c r="M96" s="5"/>
      <c r="N96" s="5"/>
      <c r="O96" s="5"/>
      <c r="P96" s="5"/>
    </row>
    <row r="97" spans="1:16" ht="17.25" x14ac:dyDescent="0.3">
      <c r="A97" s="13"/>
      <c r="B97" s="11" t="s">
        <v>31</v>
      </c>
      <c r="C97" s="11"/>
      <c r="D97" s="11"/>
      <c r="E97" s="14"/>
      <c r="F97" s="11"/>
      <c r="G97" s="11"/>
      <c r="H97" s="11"/>
      <c r="I97" s="11"/>
      <c r="J97" s="11"/>
      <c r="K97" s="14"/>
      <c r="L97" s="16"/>
      <c r="M97" s="5"/>
      <c r="N97" s="5"/>
      <c r="O97" s="5"/>
      <c r="P97" s="5"/>
    </row>
    <row r="98" spans="1:16" ht="17.25" x14ac:dyDescent="0.3">
      <c r="A98" s="13"/>
      <c r="B98" s="11"/>
      <c r="C98" s="11"/>
      <c r="D98" s="11"/>
      <c r="E98" s="14"/>
      <c r="F98" s="11"/>
      <c r="G98" s="11"/>
      <c r="H98" s="11"/>
      <c r="I98" s="11"/>
      <c r="J98" s="11"/>
      <c r="K98" s="14"/>
      <c r="L98" s="16"/>
      <c r="M98" s="5"/>
      <c r="N98" s="5"/>
      <c r="O98" s="5"/>
      <c r="P98" s="5"/>
    </row>
    <row r="99" spans="1:16" ht="17.25" x14ac:dyDescent="0.3">
      <c r="A99" s="13"/>
      <c r="B99" s="11"/>
      <c r="C99" s="11"/>
      <c r="D99" s="11"/>
      <c r="E99" s="14"/>
      <c r="F99" s="11"/>
      <c r="G99" s="11"/>
      <c r="H99" s="11"/>
      <c r="I99" s="11"/>
      <c r="J99" s="11"/>
      <c r="K99" s="14"/>
      <c r="L99" s="16"/>
      <c r="M99" s="5"/>
      <c r="N99" s="5"/>
      <c r="O99" s="5"/>
      <c r="P99" s="5"/>
    </row>
    <row r="100" spans="1:16" ht="17.25" x14ac:dyDescent="0.3">
      <c r="A100" s="13"/>
      <c r="B100" s="11"/>
      <c r="C100" s="11"/>
      <c r="D100" s="11"/>
      <c r="E100" s="14"/>
      <c r="F100" s="11"/>
      <c r="G100" s="11"/>
      <c r="H100" s="11"/>
      <c r="I100" s="11"/>
      <c r="J100" s="11"/>
      <c r="K100" s="14"/>
      <c r="L100" s="16"/>
      <c r="M100" s="5"/>
      <c r="N100" s="5"/>
      <c r="O100" s="5"/>
      <c r="P100" s="5"/>
    </row>
    <row r="101" spans="1:16" ht="17.25" x14ac:dyDescent="0.3">
      <c r="A101" s="13"/>
      <c r="B101" s="11"/>
      <c r="C101" s="11"/>
      <c r="D101" s="11"/>
      <c r="E101" s="14"/>
      <c r="F101" s="11"/>
      <c r="G101" s="11"/>
      <c r="H101" s="11"/>
      <c r="I101" s="11"/>
      <c r="J101" s="11"/>
      <c r="K101" s="14"/>
      <c r="L101" s="16"/>
      <c r="M101" s="5"/>
      <c r="N101" s="5"/>
      <c r="O101" s="5"/>
      <c r="P101" s="5"/>
    </row>
    <row r="102" spans="1:16" ht="17.25" x14ac:dyDescent="0.3">
      <c r="A102" s="13"/>
      <c r="B102" s="11"/>
      <c r="C102" s="11"/>
      <c r="D102" s="11"/>
      <c r="E102" s="14"/>
      <c r="F102" s="11"/>
      <c r="G102" s="11"/>
      <c r="H102" s="11"/>
      <c r="I102" s="11"/>
      <c r="J102" s="11"/>
      <c r="K102" s="14"/>
      <c r="L102" s="16"/>
      <c r="M102" s="5"/>
      <c r="N102" s="5"/>
      <c r="O102" s="5"/>
      <c r="P102" s="5"/>
    </row>
    <row r="103" spans="1:16" ht="17.25" x14ac:dyDescent="0.3">
      <c r="A103" s="13"/>
      <c r="B103" s="11"/>
      <c r="C103" s="11"/>
      <c r="D103" s="11"/>
      <c r="E103" s="14"/>
      <c r="F103" s="11"/>
      <c r="G103" s="11"/>
      <c r="H103" s="11"/>
      <c r="I103" s="11"/>
      <c r="J103" s="11"/>
      <c r="K103" s="14"/>
      <c r="L103" s="16"/>
      <c r="M103" s="5"/>
      <c r="N103" s="5"/>
      <c r="O103" s="5"/>
      <c r="P103" s="5"/>
    </row>
    <row r="104" spans="1:16" ht="18" thickBot="1" x14ac:dyDescent="0.35">
      <c r="A104" s="17"/>
      <c r="B104" s="18"/>
      <c r="C104" s="18"/>
      <c r="D104" s="18"/>
      <c r="E104" s="19"/>
      <c r="F104" s="18"/>
      <c r="G104" s="18"/>
      <c r="H104" s="18"/>
      <c r="I104" s="18"/>
      <c r="J104" s="18"/>
      <c r="K104" s="19"/>
      <c r="L104" s="20"/>
      <c r="M104" s="5"/>
      <c r="N104" s="5"/>
      <c r="O104" s="5"/>
      <c r="P104" s="5"/>
    </row>
    <row r="105" spans="1:16" ht="17.2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18.75" x14ac:dyDescent="0.3">
      <c r="A106" s="128" t="s">
        <v>72</v>
      </c>
      <c r="B106" s="128"/>
      <c r="C106" s="128"/>
      <c r="D106" s="128"/>
      <c r="E106" s="128"/>
      <c r="F106" s="128"/>
      <c r="G106" s="128"/>
      <c r="H106" s="128"/>
      <c r="I106" s="128" t="s">
        <v>7</v>
      </c>
      <c r="J106" s="128"/>
      <c r="K106" s="129">
        <v>602</v>
      </c>
      <c r="L106" s="129"/>
      <c r="M106" s="5"/>
      <c r="N106" s="5"/>
      <c r="O106" s="5"/>
      <c r="P106" s="5"/>
    </row>
    <row r="107" spans="1:16" ht="18" thickBot="1" x14ac:dyDescent="0.35">
      <c r="A107" s="111" t="s">
        <v>2</v>
      </c>
      <c r="B107" s="112"/>
      <c r="C107" s="112" t="s">
        <v>3</v>
      </c>
      <c r="D107" s="112" t="s">
        <v>10</v>
      </c>
      <c r="E107" s="138" t="s">
        <v>11</v>
      </c>
      <c r="F107" s="138"/>
      <c r="G107" s="112" t="s">
        <v>2</v>
      </c>
      <c r="H107" s="112"/>
      <c r="I107" s="112" t="s">
        <v>3</v>
      </c>
      <c r="J107" s="112" t="s">
        <v>10</v>
      </c>
      <c r="K107" s="138" t="s">
        <v>12</v>
      </c>
      <c r="L107" s="139"/>
      <c r="M107" s="5"/>
      <c r="N107" s="5"/>
      <c r="O107" s="5"/>
      <c r="P107" s="5"/>
    </row>
    <row r="108" spans="1:16" ht="17.25" x14ac:dyDescent="0.3">
      <c r="A108" s="13" t="s">
        <v>74</v>
      </c>
      <c r="B108" s="11">
        <v>6</v>
      </c>
      <c r="C108" s="11"/>
      <c r="D108" s="9">
        <v>30</v>
      </c>
      <c r="E108" s="14">
        <v>380</v>
      </c>
      <c r="F108" s="11"/>
      <c r="G108" s="11"/>
      <c r="H108" s="11"/>
      <c r="I108" s="11"/>
      <c r="J108" s="9"/>
      <c r="K108" s="14"/>
      <c r="L108" s="16"/>
      <c r="M108" s="5"/>
      <c r="N108" s="5"/>
      <c r="O108" s="5"/>
      <c r="P108" s="5"/>
    </row>
    <row r="109" spans="1:16" ht="17.25" x14ac:dyDescent="0.3">
      <c r="A109" s="13"/>
      <c r="B109" s="11"/>
      <c r="C109" s="11"/>
      <c r="D109" s="11"/>
      <c r="E109" s="14"/>
      <c r="F109" s="11"/>
      <c r="G109" s="11"/>
      <c r="H109" s="11"/>
      <c r="I109" s="11"/>
      <c r="J109" s="11"/>
      <c r="K109" s="14"/>
      <c r="L109" s="16"/>
      <c r="M109" s="5"/>
      <c r="N109" s="5"/>
      <c r="O109" s="5"/>
      <c r="P109" s="5"/>
    </row>
    <row r="110" spans="1:16" ht="17.25" x14ac:dyDescent="0.3">
      <c r="A110" s="13"/>
      <c r="B110" s="11"/>
      <c r="C110" s="11"/>
      <c r="D110" s="11"/>
      <c r="E110" s="14"/>
      <c r="F110" s="11"/>
      <c r="G110" s="11"/>
      <c r="H110" s="11"/>
      <c r="I110" s="11"/>
      <c r="J110" s="11"/>
      <c r="K110" s="14"/>
      <c r="L110" s="16"/>
      <c r="M110" s="5"/>
      <c r="N110" s="5"/>
      <c r="O110" s="5"/>
      <c r="P110" s="5"/>
    </row>
    <row r="111" spans="1:16" ht="17.25" x14ac:dyDescent="0.3">
      <c r="A111" s="13"/>
      <c r="B111" s="11"/>
      <c r="C111" s="11"/>
      <c r="D111" s="11"/>
      <c r="E111" s="14"/>
      <c r="F111" s="11"/>
      <c r="G111" s="11"/>
      <c r="H111" s="11"/>
      <c r="I111" s="11"/>
      <c r="J111" s="11"/>
      <c r="K111" s="14"/>
      <c r="L111" s="16"/>
      <c r="M111" s="5"/>
      <c r="N111" s="5"/>
      <c r="O111" s="5"/>
      <c r="P111" s="5"/>
    </row>
    <row r="112" spans="1:16" ht="17.25" x14ac:dyDescent="0.3">
      <c r="A112" s="13"/>
      <c r="B112" s="11"/>
      <c r="C112" s="11"/>
      <c r="D112" s="11"/>
      <c r="E112" s="14"/>
      <c r="F112" s="11"/>
      <c r="G112" s="11"/>
      <c r="H112" s="11"/>
      <c r="I112" s="11"/>
      <c r="J112" s="11"/>
      <c r="K112" s="14"/>
      <c r="L112" s="16"/>
      <c r="M112" s="5"/>
      <c r="N112" s="5"/>
      <c r="O112" s="5"/>
      <c r="P112" s="5"/>
    </row>
    <row r="113" spans="1:16" ht="17.25" x14ac:dyDescent="0.3">
      <c r="A113" s="13"/>
      <c r="B113" s="11"/>
      <c r="C113" s="11"/>
      <c r="D113" s="11"/>
      <c r="E113" s="14"/>
      <c r="F113" s="11"/>
      <c r="G113" s="11"/>
      <c r="H113" s="11"/>
      <c r="I113" s="11"/>
      <c r="J113" s="11"/>
      <c r="K113" s="14"/>
      <c r="L113" s="16"/>
      <c r="M113" s="5"/>
      <c r="N113" s="5"/>
      <c r="O113" s="5"/>
      <c r="P113" s="5"/>
    </row>
    <row r="114" spans="1:16" ht="17.25" x14ac:dyDescent="0.3">
      <c r="A114" s="13"/>
      <c r="B114" s="11"/>
      <c r="C114" s="11"/>
      <c r="D114" s="11"/>
      <c r="E114" s="14"/>
      <c r="F114" s="11"/>
      <c r="G114" s="11"/>
      <c r="H114" s="11"/>
      <c r="I114" s="11"/>
      <c r="J114" s="11"/>
      <c r="K114" s="14"/>
      <c r="L114" s="16"/>
      <c r="M114" s="5"/>
      <c r="N114" s="5"/>
      <c r="O114" s="5"/>
      <c r="P114" s="5"/>
    </row>
    <row r="115" spans="1:16" ht="17.25" x14ac:dyDescent="0.3">
      <c r="A115" s="13"/>
      <c r="B115" s="11"/>
      <c r="C115" s="11"/>
      <c r="D115" s="11"/>
      <c r="E115" s="14"/>
      <c r="F115" s="11"/>
      <c r="G115" s="11"/>
      <c r="H115" s="11"/>
      <c r="I115" s="11"/>
      <c r="J115" s="11"/>
      <c r="K115" s="14"/>
      <c r="L115" s="16"/>
      <c r="M115" s="5"/>
      <c r="N115" s="5"/>
      <c r="O115" s="5"/>
      <c r="P115" s="5"/>
    </row>
    <row r="116" spans="1:16" ht="18" thickBot="1" x14ac:dyDescent="0.35">
      <c r="A116" s="17"/>
      <c r="B116" s="18"/>
      <c r="C116" s="18"/>
      <c r="D116" s="18"/>
      <c r="E116" s="19"/>
      <c r="F116" s="18"/>
      <c r="G116" s="18"/>
      <c r="H116" s="18"/>
      <c r="I116" s="18"/>
      <c r="J116" s="18"/>
      <c r="K116" s="19"/>
      <c r="L116" s="20"/>
      <c r="M116" s="5"/>
      <c r="N116" s="5"/>
      <c r="O116" s="5"/>
      <c r="P116" s="5"/>
    </row>
    <row r="117" spans="1:16" ht="17.25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8.75" x14ac:dyDescent="0.3">
      <c r="A118" s="128" t="s">
        <v>69</v>
      </c>
      <c r="B118" s="128"/>
      <c r="C118" s="128"/>
      <c r="D118" s="128"/>
      <c r="E118" s="128"/>
      <c r="F118" s="128"/>
      <c r="G118" s="128"/>
      <c r="H118" s="128"/>
      <c r="I118" s="128" t="s">
        <v>7</v>
      </c>
      <c r="J118" s="128"/>
      <c r="K118" s="129">
        <v>603</v>
      </c>
      <c r="L118" s="129"/>
      <c r="M118" s="5"/>
      <c r="N118" s="5"/>
      <c r="O118" s="5"/>
      <c r="P118" s="5"/>
    </row>
    <row r="119" spans="1:16" ht="18" thickBot="1" x14ac:dyDescent="0.35">
      <c r="A119" s="111" t="s">
        <v>2</v>
      </c>
      <c r="B119" s="112"/>
      <c r="C119" s="112" t="s">
        <v>3</v>
      </c>
      <c r="D119" s="112" t="s">
        <v>10</v>
      </c>
      <c r="E119" s="138" t="s">
        <v>11</v>
      </c>
      <c r="F119" s="138"/>
      <c r="G119" s="112" t="s">
        <v>2</v>
      </c>
      <c r="H119" s="112"/>
      <c r="I119" s="112" t="s">
        <v>3</v>
      </c>
      <c r="J119" s="112" t="s">
        <v>10</v>
      </c>
      <c r="K119" s="138" t="s">
        <v>12</v>
      </c>
      <c r="L119" s="139"/>
      <c r="M119" s="5"/>
      <c r="N119" s="5"/>
      <c r="O119" s="5"/>
      <c r="P119" s="5"/>
    </row>
    <row r="120" spans="1:16" ht="17.25" x14ac:dyDescent="0.3">
      <c r="A120" s="13" t="s">
        <v>74</v>
      </c>
      <c r="B120" s="11">
        <v>30</v>
      </c>
      <c r="C120" s="11"/>
      <c r="D120" s="9">
        <v>30</v>
      </c>
      <c r="E120" s="14">
        <v>381.3</v>
      </c>
      <c r="F120" s="11"/>
      <c r="G120" s="11"/>
      <c r="H120" s="11"/>
      <c r="I120" s="11"/>
      <c r="J120" s="9"/>
      <c r="K120" s="14"/>
      <c r="L120" s="16"/>
      <c r="M120" s="5"/>
      <c r="N120" s="5"/>
      <c r="O120" s="5"/>
      <c r="P120" s="5"/>
    </row>
    <row r="121" spans="1:16" ht="17.25" x14ac:dyDescent="0.3">
      <c r="A121" s="13"/>
      <c r="B121" s="11"/>
      <c r="C121" s="11"/>
      <c r="D121" s="11"/>
      <c r="E121" s="14"/>
      <c r="F121" s="11"/>
      <c r="G121" s="11"/>
      <c r="H121" s="11"/>
      <c r="I121" s="11"/>
      <c r="J121" s="11"/>
      <c r="K121" s="14"/>
      <c r="L121" s="16"/>
      <c r="M121" s="5"/>
      <c r="N121" s="5"/>
      <c r="O121" s="5"/>
      <c r="P121" s="5"/>
    </row>
    <row r="122" spans="1:16" ht="17.25" x14ac:dyDescent="0.3">
      <c r="A122" s="13"/>
      <c r="B122" s="11"/>
      <c r="C122" s="11"/>
      <c r="D122" s="11"/>
      <c r="E122" s="14"/>
      <c r="F122" s="11"/>
      <c r="G122" s="11"/>
      <c r="H122" s="11"/>
      <c r="I122" s="11"/>
      <c r="J122" s="11"/>
      <c r="K122" s="14"/>
      <c r="L122" s="16"/>
      <c r="M122" s="5"/>
      <c r="N122" s="5"/>
      <c r="O122" s="5"/>
      <c r="P122" s="5"/>
    </row>
    <row r="123" spans="1:16" ht="17.25" x14ac:dyDescent="0.3">
      <c r="A123" s="13"/>
      <c r="B123" s="11"/>
      <c r="C123" s="11"/>
      <c r="D123" s="11"/>
      <c r="E123" s="14"/>
      <c r="F123" s="11"/>
      <c r="G123" s="11"/>
      <c r="H123" s="11"/>
      <c r="I123" s="11"/>
      <c r="J123" s="11"/>
      <c r="K123" s="14"/>
      <c r="L123" s="16"/>
      <c r="M123" s="5"/>
      <c r="N123" s="5"/>
      <c r="O123" s="5"/>
      <c r="P123" s="5"/>
    </row>
    <row r="124" spans="1:16" ht="17.25" x14ac:dyDescent="0.3">
      <c r="A124" s="13"/>
      <c r="B124" s="11"/>
      <c r="C124" s="11"/>
      <c r="D124" s="11"/>
      <c r="E124" s="14"/>
      <c r="F124" s="11"/>
      <c r="G124" s="11"/>
      <c r="H124" s="11"/>
      <c r="I124" s="11"/>
      <c r="J124" s="11"/>
      <c r="K124" s="14"/>
      <c r="L124" s="16"/>
      <c r="M124" s="5"/>
      <c r="N124" s="5"/>
      <c r="O124" s="5"/>
      <c r="P124" s="5"/>
    </row>
    <row r="125" spans="1:16" ht="17.25" x14ac:dyDescent="0.3">
      <c r="A125" s="13"/>
      <c r="B125" s="11"/>
      <c r="C125" s="11"/>
      <c r="D125" s="11"/>
      <c r="E125" s="14"/>
      <c r="F125" s="11"/>
      <c r="G125" s="11"/>
      <c r="H125" s="11"/>
      <c r="I125" s="11"/>
      <c r="J125" s="11"/>
      <c r="K125" s="14"/>
      <c r="L125" s="16"/>
      <c r="M125" s="5"/>
      <c r="N125" s="5"/>
      <c r="O125" s="5"/>
      <c r="P125" s="5"/>
    </row>
    <row r="126" spans="1:16" ht="17.25" x14ac:dyDescent="0.3">
      <c r="A126" s="13"/>
      <c r="B126" s="11"/>
      <c r="C126" s="11"/>
      <c r="D126" s="11"/>
      <c r="E126" s="14"/>
      <c r="F126" s="11"/>
      <c r="G126" s="11"/>
      <c r="H126" s="11"/>
      <c r="I126" s="11"/>
      <c r="J126" s="11"/>
      <c r="K126" s="14"/>
      <c r="L126" s="16"/>
      <c r="M126" s="5"/>
      <c r="N126" s="5"/>
      <c r="O126" s="5"/>
      <c r="P126" s="5"/>
    </row>
    <row r="127" spans="1:16" ht="17.25" x14ac:dyDescent="0.3">
      <c r="A127" s="13"/>
      <c r="B127" s="11"/>
      <c r="C127" s="11"/>
      <c r="D127" s="11"/>
      <c r="E127" s="14"/>
      <c r="F127" s="11"/>
      <c r="G127" s="11"/>
      <c r="H127" s="11"/>
      <c r="I127" s="11"/>
      <c r="J127" s="11"/>
      <c r="K127" s="14"/>
      <c r="L127" s="16"/>
      <c r="M127" s="5"/>
      <c r="N127" s="5"/>
      <c r="O127" s="5"/>
      <c r="P127" s="5"/>
    </row>
    <row r="128" spans="1:16" ht="18" thickBot="1" x14ac:dyDescent="0.35">
      <c r="A128" s="17"/>
      <c r="B128" s="18"/>
      <c r="C128" s="18"/>
      <c r="D128" s="18"/>
      <c r="E128" s="19"/>
      <c r="F128" s="18"/>
      <c r="G128" s="18"/>
      <c r="H128" s="18"/>
      <c r="I128" s="18"/>
      <c r="J128" s="18"/>
      <c r="K128" s="19"/>
      <c r="L128" s="20"/>
      <c r="M128" s="5"/>
      <c r="N128" s="5"/>
      <c r="O128" s="5"/>
      <c r="P128" s="5"/>
    </row>
    <row r="129" spans="1:16" ht="17.25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ht="18.75" x14ac:dyDescent="0.3">
      <c r="A130" s="128" t="s">
        <v>67</v>
      </c>
      <c r="B130" s="128"/>
      <c r="C130" s="128"/>
      <c r="D130" s="128"/>
      <c r="E130" s="128"/>
      <c r="F130" s="128"/>
      <c r="G130" s="128"/>
      <c r="H130" s="128"/>
      <c r="I130" s="132" t="s">
        <v>7</v>
      </c>
      <c r="J130" s="133"/>
      <c r="K130" s="130">
        <v>604</v>
      </c>
      <c r="L130" s="131"/>
      <c r="M130" s="5"/>
      <c r="N130" s="5"/>
      <c r="O130" s="5"/>
      <c r="P130" s="5"/>
    </row>
    <row r="131" spans="1:16" ht="18" thickBot="1" x14ac:dyDescent="0.35">
      <c r="A131" s="111" t="s">
        <v>2</v>
      </c>
      <c r="B131" s="112"/>
      <c r="C131" s="112" t="s">
        <v>3</v>
      </c>
      <c r="D131" s="112" t="s">
        <v>10</v>
      </c>
      <c r="E131" s="115" t="s">
        <v>11</v>
      </c>
      <c r="F131" s="115"/>
      <c r="G131" s="112" t="s">
        <v>2</v>
      </c>
      <c r="H131" s="112"/>
      <c r="I131" s="112" t="s">
        <v>3</v>
      </c>
      <c r="J131" s="112" t="s">
        <v>10</v>
      </c>
      <c r="K131" s="115" t="s">
        <v>12</v>
      </c>
      <c r="L131" s="104"/>
      <c r="M131" s="5"/>
      <c r="N131" s="5"/>
      <c r="O131" s="5"/>
      <c r="P131" s="5"/>
    </row>
    <row r="132" spans="1:16" ht="17.25" x14ac:dyDescent="0.3">
      <c r="A132" s="11" t="s">
        <v>74</v>
      </c>
      <c r="B132" s="11">
        <v>30</v>
      </c>
      <c r="C132" s="11"/>
      <c r="D132" s="9">
        <v>30</v>
      </c>
      <c r="E132" s="14">
        <v>41.85</v>
      </c>
      <c r="F132" s="11"/>
      <c r="G132" s="11"/>
      <c r="H132" s="11"/>
      <c r="I132" s="11"/>
      <c r="J132" s="11"/>
      <c r="K132" s="14"/>
      <c r="L132" s="16"/>
      <c r="M132" s="5"/>
      <c r="N132" s="5"/>
      <c r="O132" s="5"/>
      <c r="P132" s="5"/>
    </row>
    <row r="133" spans="1:16" ht="17.25" x14ac:dyDescent="0.3">
      <c r="A133" s="11"/>
      <c r="B133" s="11"/>
      <c r="C133" s="11"/>
      <c r="D133" s="11"/>
      <c r="E133" s="14"/>
      <c r="F133" s="11"/>
      <c r="G133" s="11"/>
      <c r="H133" s="11"/>
      <c r="I133" s="11"/>
      <c r="J133" s="11"/>
      <c r="K133" s="14"/>
      <c r="L133" s="16"/>
      <c r="M133" s="5"/>
      <c r="N133" s="5"/>
      <c r="O133" s="5"/>
      <c r="P133" s="5"/>
    </row>
    <row r="134" spans="1:16" ht="17.25" x14ac:dyDescent="0.3">
      <c r="A134" s="13"/>
      <c r="B134" s="11"/>
      <c r="C134" s="11"/>
      <c r="D134" s="11"/>
      <c r="E134" s="14"/>
      <c r="F134" s="11"/>
      <c r="G134" s="11"/>
      <c r="H134" s="11"/>
      <c r="I134" s="11"/>
      <c r="J134" s="11"/>
      <c r="K134" s="14"/>
      <c r="L134" s="16"/>
      <c r="M134" s="5"/>
      <c r="N134" s="5"/>
      <c r="O134" s="5"/>
      <c r="P134" s="5"/>
    </row>
    <row r="135" spans="1:16" ht="17.25" x14ac:dyDescent="0.3">
      <c r="A135" s="13"/>
      <c r="B135" s="11"/>
      <c r="C135" s="11"/>
      <c r="D135" s="11"/>
      <c r="E135" s="14"/>
      <c r="F135" s="11"/>
      <c r="G135" s="11"/>
      <c r="H135" s="11"/>
      <c r="I135" s="11"/>
      <c r="J135" s="11"/>
      <c r="K135" s="14"/>
      <c r="L135" s="16"/>
      <c r="M135" s="5"/>
      <c r="N135" s="5"/>
      <c r="O135" s="5"/>
      <c r="P135" s="5"/>
    </row>
    <row r="136" spans="1:16" ht="17.25" x14ac:dyDescent="0.3">
      <c r="A136" s="13"/>
      <c r="B136" s="11"/>
      <c r="C136" s="11"/>
      <c r="D136" s="11"/>
      <c r="E136" s="14"/>
      <c r="F136" s="11"/>
      <c r="G136" s="11"/>
      <c r="H136" s="11"/>
      <c r="I136" s="11"/>
      <c r="J136" s="11"/>
      <c r="K136" s="14"/>
      <c r="L136" s="16"/>
      <c r="M136" s="5"/>
      <c r="N136" s="5"/>
      <c r="O136" s="5"/>
      <c r="P136" s="5"/>
    </row>
    <row r="137" spans="1:16" ht="17.25" x14ac:dyDescent="0.3">
      <c r="A137" s="13"/>
      <c r="B137" s="11"/>
      <c r="C137" s="11"/>
      <c r="D137" s="11"/>
      <c r="E137" s="14"/>
      <c r="F137" s="11"/>
      <c r="G137" s="11"/>
      <c r="H137" s="11"/>
      <c r="I137" s="11"/>
      <c r="J137" s="11"/>
      <c r="K137" s="14"/>
      <c r="L137" s="16"/>
      <c r="M137" s="5"/>
      <c r="N137" s="5"/>
      <c r="O137" s="5"/>
      <c r="P137" s="5"/>
    </row>
    <row r="138" spans="1:16" ht="17.25" x14ac:dyDescent="0.3">
      <c r="A138" s="13"/>
      <c r="B138" s="11"/>
      <c r="C138" s="11"/>
      <c r="D138" s="11"/>
      <c r="E138" s="14"/>
      <c r="F138" s="11"/>
      <c r="G138" s="11"/>
      <c r="H138" s="11"/>
      <c r="I138" s="11"/>
      <c r="J138" s="11"/>
      <c r="K138" s="14"/>
      <c r="L138" s="16"/>
      <c r="M138" s="5"/>
      <c r="N138" s="5"/>
      <c r="O138" s="5"/>
      <c r="P138" s="5"/>
    </row>
    <row r="139" spans="1:16" ht="17.25" x14ac:dyDescent="0.3">
      <c r="A139" s="13"/>
      <c r="B139" s="11"/>
      <c r="C139" s="11"/>
      <c r="D139" s="11"/>
      <c r="E139" s="14"/>
      <c r="F139" s="11"/>
      <c r="G139" s="11"/>
      <c r="H139" s="11"/>
      <c r="I139" s="11"/>
      <c r="J139" s="11"/>
      <c r="K139" s="14"/>
      <c r="L139" s="16"/>
      <c r="M139" s="5"/>
      <c r="N139" s="5"/>
      <c r="O139" s="5"/>
      <c r="P139" s="5"/>
    </row>
    <row r="140" spans="1:16" ht="18" thickBot="1" x14ac:dyDescent="0.35">
      <c r="A140" s="17"/>
      <c r="B140" s="18"/>
      <c r="C140" s="18"/>
      <c r="D140" s="18"/>
      <c r="E140" s="19"/>
      <c r="F140" s="18"/>
      <c r="G140" s="18"/>
      <c r="H140" s="18"/>
      <c r="I140" s="18"/>
      <c r="J140" s="18"/>
      <c r="K140" s="19"/>
      <c r="L140" s="20"/>
      <c r="M140" s="5"/>
      <c r="N140" s="5"/>
      <c r="O140" s="5"/>
      <c r="P140" s="5"/>
    </row>
    <row r="141" spans="1:16" ht="17.25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 ht="18.75" x14ac:dyDescent="0.3">
      <c r="A142" s="128" t="s">
        <v>27</v>
      </c>
      <c r="B142" s="128"/>
      <c r="C142" s="128"/>
      <c r="D142" s="128"/>
      <c r="E142" s="128"/>
      <c r="F142" s="128"/>
      <c r="G142" s="128"/>
      <c r="H142" s="128"/>
      <c r="I142" s="132" t="s">
        <v>7</v>
      </c>
      <c r="J142" s="133"/>
      <c r="K142" s="130">
        <v>605</v>
      </c>
      <c r="L142" s="131"/>
      <c r="M142" s="5"/>
      <c r="N142" s="5"/>
      <c r="O142" s="5"/>
      <c r="P142" s="5"/>
    </row>
    <row r="143" spans="1:16" ht="18" thickBot="1" x14ac:dyDescent="0.35">
      <c r="A143" s="111" t="s">
        <v>2</v>
      </c>
      <c r="B143" s="112"/>
      <c r="C143" s="112" t="s">
        <v>3</v>
      </c>
      <c r="D143" s="112" t="s">
        <v>10</v>
      </c>
      <c r="E143" s="115" t="s">
        <v>11</v>
      </c>
      <c r="F143" s="115"/>
      <c r="G143" s="112" t="s">
        <v>2</v>
      </c>
      <c r="H143" s="112"/>
      <c r="I143" s="112" t="s">
        <v>3</v>
      </c>
      <c r="J143" s="112" t="s">
        <v>10</v>
      </c>
      <c r="K143" s="115" t="s">
        <v>12</v>
      </c>
      <c r="L143" s="104"/>
      <c r="M143" s="5"/>
      <c r="N143" s="5"/>
      <c r="O143" s="5"/>
      <c r="P143" s="5"/>
    </row>
    <row r="144" spans="1:16" ht="17.25" x14ac:dyDescent="0.3">
      <c r="A144" s="11" t="s">
        <v>74</v>
      </c>
      <c r="B144" s="38">
        <v>9</v>
      </c>
      <c r="C144" s="11"/>
      <c r="D144" s="9">
        <v>30</v>
      </c>
      <c r="E144" s="44">
        <f>5300*7%</f>
        <v>371.00000000000006</v>
      </c>
      <c r="F144" s="11"/>
      <c r="G144" s="11"/>
      <c r="H144" s="11"/>
      <c r="I144" s="11"/>
      <c r="J144" s="11"/>
      <c r="K144" s="14"/>
      <c r="L144" s="16"/>
      <c r="M144" s="5"/>
      <c r="N144" s="5"/>
      <c r="O144" s="5"/>
      <c r="P144" s="5"/>
    </row>
    <row r="145" spans="1:16" ht="17.25" x14ac:dyDescent="0.3">
      <c r="A145" s="13"/>
      <c r="B145" s="38">
        <v>26</v>
      </c>
      <c r="C145" s="11"/>
      <c r="D145" s="9">
        <v>30</v>
      </c>
      <c r="E145" s="47">
        <v>26.6</v>
      </c>
      <c r="F145" s="11"/>
      <c r="G145" s="11"/>
      <c r="H145" s="11"/>
      <c r="I145" s="11"/>
      <c r="J145" s="11"/>
      <c r="K145" s="14"/>
      <c r="L145" s="16"/>
      <c r="M145" s="5"/>
      <c r="N145" s="5"/>
      <c r="O145" s="5"/>
      <c r="P145" s="5"/>
    </row>
    <row r="146" spans="1:16" ht="17.25" x14ac:dyDescent="0.3">
      <c r="A146" s="13"/>
      <c r="B146" s="38">
        <v>30</v>
      </c>
      <c r="C146" s="11"/>
      <c r="D146" s="9">
        <v>30</v>
      </c>
      <c r="E146" s="47">
        <f>(410*7%)+ (45*7%)</f>
        <v>31.85</v>
      </c>
      <c r="F146" s="11"/>
      <c r="G146" s="11"/>
      <c r="H146" s="11"/>
      <c r="I146" s="11"/>
      <c r="J146" s="11"/>
      <c r="K146" s="14"/>
      <c r="L146" s="16"/>
      <c r="M146" s="5"/>
      <c r="N146" s="5"/>
      <c r="O146" s="5"/>
      <c r="P146" s="5"/>
    </row>
    <row r="147" spans="1:16" ht="17.25" x14ac:dyDescent="0.3">
      <c r="A147" s="13"/>
      <c r="B147" s="11"/>
      <c r="C147" s="11"/>
      <c r="D147" s="11"/>
      <c r="E147" s="14"/>
      <c r="F147" s="11"/>
      <c r="G147" s="11"/>
      <c r="H147" s="11"/>
      <c r="I147" s="11"/>
      <c r="J147" s="11"/>
      <c r="K147" s="14"/>
      <c r="L147" s="16"/>
      <c r="M147" s="5"/>
      <c r="N147" s="5"/>
      <c r="O147" s="5"/>
      <c r="P147" s="5"/>
    </row>
    <row r="148" spans="1:16" ht="17.25" x14ac:dyDescent="0.3">
      <c r="A148" s="13"/>
      <c r="B148" s="11"/>
      <c r="C148" s="11"/>
      <c r="D148" s="11"/>
      <c r="E148" s="14"/>
      <c r="F148" s="11"/>
      <c r="G148" s="11"/>
      <c r="H148" s="11"/>
      <c r="I148" s="11"/>
      <c r="J148" s="11"/>
      <c r="K148" s="14"/>
      <c r="L148" s="16"/>
      <c r="M148" s="5"/>
      <c r="N148" s="5"/>
      <c r="O148" s="5"/>
      <c r="P148" s="5"/>
    </row>
    <row r="149" spans="1:16" ht="17.25" x14ac:dyDescent="0.3">
      <c r="A149" s="13"/>
      <c r="B149" s="11"/>
      <c r="C149" s="11"/>
      <c r="D149" s="11"/>
      <c r="E149" s="14"/>
      <c r="F149" s="11"/>
      <c r="G149" s="11"/>
      <c r="H149" s="11"/>
      <c r="I149" s="11"/>
      <c r="J149" s="11"/>
      <c r="K149" s="14"/>
      <c r="L149" s="16"/>
      <c r="M149" s="5"/>
      <c r="N149" s="5"/>
      <c r="O149" s="5"/>
      <c r="P149" s="5"/>
    </row>
    <row r="150" spans="1:16" ht="17.25" x14ac:dyDescent="0.3">
      <c r="A150" s="13"/>
      <c r="B150" s="11"/>
      <c r="C150" s="11"/>
      <c r="D150" s="11"/>
      <c r="E150" s="14"/>
      <c r="F150" s="11"/>
      <c r="G150" s="11"/>
      <c r="H150" s="11"/>
      <c r="I150" s="11"/>
      <c r="J150" s="11"/>
      <c r="K150" s="14"/>
      <c r="L150" s="16"/>
      <c r="M150" s="5"/>
      <c r="N150" s="5"/>
      <c r="O150" s="5"/>
      <c r="P150" s="5"/>
    </row>
    <row r="151" spans="1:16" ht="17.25" x14ac:dyDescent="0.3">
      <c r="A151" s="13"/>
      <c r="B151" s="11"/>
      <c r="C151" s="11"/>
      <c r="D151" s="11"/>
      <c r="E151" s="14"/>
      <c r="F151" s="11"/>
      <c r="G151" s="11"/>
      <c r="H151" s="11"/>
      <c r="I151" s="11"/>
      <c r="J151" s="11"/>
      <c r="K151" s="14"/>
      <c r="L151" s="16"/>
      <c r="M151" s="5"/>
      <c r="N151" s="5"/>
      <c r="O151" s="5"/>
      <c r="P151" s="5"/>
    </row>
    <row r="152" spans="1:16" ht="18" thickBot="1" x14ac:dyDescent="0.35">
      <c r="A152" s="17"/>
      <c r="B152" s="18"/>
      <c r="C152" s="18"/>
      <c r="D152" s="18"/>
      <c r="E152" s="19"/>
      <c r="F152" s="18"/>
      <c r="G152" s="18"/>
      <c r="H152" s="18"/>
      <c r="I152" s="18"/>
      <c r="J152" s="18"/>
      <c r="K152" s="19"/>
      <c r="L152" s="20"/>
      <c r="M152" s="5"/>
      <c r="N152" s="5"/>
      <c r="O152" s="5"/>
      <c r="P152" s="5"/>
    </row>
    <row r="153" spans="1:16" ht="17.25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 ht="18.75" x14ac:dyDescent="0.3">
      <c r="A154" s="128"/>
      <c r="B154" s="128"/>
      <c r="C154" s="128"/>
      <c r="D154" s="128"/>
      <c r="E154" s="128"/>
      <c r="F154" s="128"/>
      <c r="G154" s="128"/>
      <c r="H154" s="128"/>
      <c r="I154" s="128" t="s">
        <v>7</v>
      </c>
      <c r="J154" s="128"/>
      <c r="K154" s="129"/>
      <c r="L154" s="129"/>
      <c r="M154" s="5"/>
      <c r="N154" s="5"/>
      <c r="O154" s="5"/>
      <c r="P154" s="5"/>
    </row>
    <row r="155" spans="1:16" ht="18" thickBot="1" x14ac:dyDescent="0.35">
      <c r="A155" s="111" t="s">
        <v>2</v>
      </c>
      <c r="B155" s="112"/>
      <c r="C155" s="112" t="s">
        <v>3</v>
      </c>
      <c r="D155" s="112" t="s">
        <v>10</v>
      </c>
      <c r="E155" s="115" t="s">
        <v>11</v>
      </c>
      <c r="F155" s="115"/>
      <c r="G155" s="112" t="s">
        <v>2</v>
      </c>
      <c r="H155" s="112"/>
      <c r="I155" s="112" t="s">
        <v>3</v>
      </c>
      <c r="J155" s="112" t="s">
        <v>10</v>
      </c>
      <c r="K155" s="115" t="s">
        <v>12</v>
      </c>
      <c r="L155" s="104"/>
    </row>
    <row r="156" spans="1:16" ht="17.25" x14ac:dyDescent="0.3">
      <c r="A156" s="11"/>
      <c r="B156" s="11"/>
      <c r="C156" s="11"/>
      <c r="D156" s="9"/>
      <c r="E156" s="14"/>
      <c r="F156" s="11"/>
      <c r="G156" s="11"/>
      <c r="H156" s="11"/>
      <c r="I156" s="11"/>
      <c r="J156" s="11"/>
      <c r="K156" s="14"/>
      <c r="L156" s="16"/>
    </row>
    <row r="157" spans="1:16" ht="17.25" x14ac:dyDescent="0.3">
      <c r="A157" s="13"/>
      <c r="B157" s="11"/>
      <c r="C157" s="11"/>
      <c r="D157" s="11"/>
      <c r="E157" s="14"/>
      <c r="F157" s="11"/>
      <c r="G157" s="11"/>
      <c r="H157" s="11"/>
      <c r="I157" s="11"/>
      <c r="J157" s="11"/>
      <c r="K157" s="14"/>
      <c r="L157" s="16"/>
    </row>
    <row r="158" spans="1:16" ht="17.25" x14ac:dyDescent="0.3">
      <c r="A158" s="13"/>
      <c r="B158" s="11"/>
      <c r="C158" s="11"/>
      <c r="D158" s="11"/>
      <c r="E158" s="14"/>
      <c r="F158" s="11"/>
      <c r="G158" s="11"/>
      <c r="H158" s="11"/>
      <c r="I158" s="11"/>
      <c r="J158" s="11"/>
      <c r="K158" s="14"/>
      <c r="L158" s="16"/>
    </row>
    <row r="159" spans="1:16" ht="17.25" x14ac:dyDescent="0.3">
      <c r="A159" s="13"/>
      <c r="B159" s="11"/>
      <c r="C159" s="11"/>
      <c r="D159" s="11"/>
      <c r="E159" s="14"/>
      <c r="F159" s="11"/>
      <c r="G159" s="11"/>
      <c r="H159" s="11"/>
      <c r="I159" s="11"/>
      <c r="J159" s="11"/>
      <c r="K159" s="14"/>
      <c r="L159" s="16"/>
    </row>
    <row r="160" spans="1:16" ht="17.25" x14ac:dyDescent="0.3">
      <c r="A160" s="13"/>
      <c r="B160" s="11"/>
      <c r="C160" s="11"/>
      <c r="D160" s="11"/>
      <c r="E160" s="14"/>
      <c r="F160" s="11"/>
      <c r="G160" s="11"/>
      <c r="H160" s="11"/>
      <c r="I160" s="11"/>
      <c r="J160" s="11"/>
      <c r="K160" s="14"/>
      <c r="L160" s="16"/>
    </row>
    <row r="161" spans="1:12" ht="17.25" x14ac:dyDescent="0.3">
      <c r="A161" s="13"/>
      <c r="B161" s="11"/>
      <c r="C161" s="11"/>
      <c r="D161" s="11"/>
      <c r="E161" s="14"/>
      <c r="F161" s="11"/>
      <c r="G161" s="11"/>
      <c r="H161" s="11"/>
      <c r="I161" s="11"/>
      <c r="J161" s="11"/>
      <c r="K161" s="14"/>
      <c r="L161" s="16"/>
    </row>
    <row r="162" spans="1:12" ht="17.25" x14ac:dyDescent="0.3">
      <c r="A162" s="13"/>
      <c r="B162" s="11"/>
      <c r="C162" s="11"/>
      <c r="D162" s="11"/>
      <c r="E162" s="14"/>
      <c r="F162" s="11"/>
      <c r="G162" s="11"/>
      <c r="H162" s="11"/>
      <c r="I162" s="11"/>
      <c r="J162" s="11"/>
      <c r="K162" s="14"/>
      <c r="L162" s="16"/>
    </row>
    <row r="163" spans="1:12" ht="17.25" x14ac:dyDescent="0.3">
      <c r="A163" s="13"/>
      <c r="B163" s="11"/>
      <c r="C163" s="11"/>
      <c r="D163" s="11"/>
      <c r="E163" s="14"/>
      <c r="F163" s="11"/>
      <c r="G163" s="11"/>
      <c r="H163" s="11"/>
      <c r="I163" s="11"/>
      <c r="J163" s="11"/>
      <c r="K163" s="14"/>
      <c r="L163" s="16"/>
    </row>
    <row r="164" spans="1:12" ht="18" thickBot="1" x14ac:dyDescent="0.35">
      <c r="A164" s="17"/>
      <c r="B164" s="18"/>
      <c r="C164" s="18"/>
      <c r="D164" s="18"/>
      <c r="E164" s="19"/>
      <c r="F164" s="18"/>
      <c r="G164" s="18"/>
      <c r="H164" s="18"/>
      <c r="I164" s="18"/>
      <c r="J164" s="18"/>
      <c r="K164" s="19"/>
      <c r="L164" s="20"/>
    </row>
    <row r="165" spans="1:12" ht="17.25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8.75" x14ac:dyDescent="0.3">
      <c r="A166" s="128"/>
      <c r="B166" s="128"/>
      <c r="C166" s="128"/>
      <c r="D166" s="128"/>
      <c r="E166" s="128"/>
      <c r="F166" s="128"/>
      <c r="G166" s="128"/>
      <c r="H166" s="128"/>
      <c r="I166" s="128" t="s">
        <v>7</v>
      </c>
      <c r="J166" s="128"/>
      <c r="K166" s="129"/>
      <c r="L166" s="129"/>
    </row>
    <row r="167" spans="1:12" ht="18" thickBot="1" x14ac:dyDescent="0.35">
      <c r="A167" s="111" t="s">
        <v>2</v>
      </c>
      <c r="B167" s="112"/>
      <c r="C167" s="112" t="s">
        <v>3</v>
      </c>
      <c r="D167" s="112" t="s">
        <v>10</v>
      </c>
      <c r="E167" s="115" t="s">
        <v>11</v>
      </c>
      <c r="F167" s="115"/>
      <c r="G167" s="112" t="s">
        <v>2</v>
      </c>
      <c r="H167" s="112"/>
      <c r="I167" s="112" t="s">
        <v>3</v>
      </c>
      <c r="J167" s="112" t="s">
        <v>10</v>
      </c>
      <c r="K167" s="115" t="s">
        <v>12</v>
      </c>
      <c r="L167" s="104"/>
    </row>
    <row r="168" spans="1:12" ht="17.25" x14ac:dyDescent="0.3">
      <c r="A168" s="11"/>
      <c r="B168" s="11"/>
      <c r="C168" s="11"/>
      <c r="D168" s="9"/>
      <c r="E168" s="14"/>
      <c r="F168" s="11"/>
      <c r="G168" s="11"/>
      <c r="H168" s="11"/>
      <c r="I168" s="11"/>
      <c r="J168" s="11"/>
      <c r="K168" s="14"/>
      <c r="L168" s="16"/>
    </row>
    <row r="169" spans="1:12" ht="17.25" x14ac:dyDescent="0.3">
      <c r="A169" s="13"/>
      <c r="B169" s="11"/>
      <c r="C169" s="11"/>
      <c r="D169" s="11"/>
      <c r="E169" s="14"/>
      <c r="F169" s="11"/>
      <c r="G169" s="11"/>
      <c r="H169" s="11"/>
      <c r="I169" s="11"/>
      <c r="J169" s="11"/>
      <c r="K169" s="14"/>
      <c r="L169" s="16"/>
    </row>
    <row r="170" spans="1:12" ht="17.25" x14ac:dyDescent="0.3">
      <c r="A170" s="13"/>
      <c r="B170" s="11"/>
      <c r="C170" s="11"/>
      <c r="D170" s="11"/>
      <c r="E170" s="14"/>
      <c r="F170" s="11"/>
      <c r="G170" s="11"/>
      <c r="H170" s="11"/>
      <c r="I170" s="11"/>
      <c r="J170" s="11"/>
      <c r="K170" s="14"/>
      <c r="L170" s="16"/>
    </row>
    <row r="171" spans="1:12" ht="17.25" x14ac:dyDescent="0.3">
      <c r="A171" s="13"/>
      <c r="B171" s="11"/>
      <c r="C171" s="11"/>
      <c r="D171" s="11"/>
      <c r="E171" s="14"/>
      <c r="F171" s="11"/>
      <c r="G171" s="11"/>
      <c r="H171" s="11"/>
      <c r="I171" s="11"/>
      <c r="J171" s="11"/>
      <c r="K171" s="14"/>
      <c r="L171" s="16"/>
    </row>
    <row r="172" spans="1:12" ht="17.25" x14ac:dyDescent="0.3">
      <c r="A172" s="13"/>
      <c r="B172" s="11"/>
      <c r="C172" s="11"/>
      <c r="D172" s="11"/>
      <c r="E172" s="14"/>
      <c r="F172" s="11"/>
      <c r="G172" s="11"/>
      <c r="H172" s="11"/>
      <c r="I172" s="11"/>
      <c r="J172" s="11"/>
      <c r="K172" s="14"/>
      <c r="L172" s="16"/>
    </row>
    <row r="173" spans="1:12" ht="17.25" x14ac:dyDescent="0.3">
      <c r="A173" s="13"/>
      <c r="B173" s="11"/>
      <c r="C173" s="11"/>
      <c r="D173" s="11"/>
      <c r="E173" s="14"/>
      <c r="F173" s="11"/>
      <c r="G173" s="11"/>
      <c r="H173" s="11"/>
      <c r="I173" s="11"/>
      <c r="J173" s="11"/>
      <c r="K173" s="14"/>
      <c r="L173" s="16"/>
    </row>
    <row r="174" spans="1:12" ht="17.25" x14ac:dyDescent="0.3">
      <c r="A174" s="13"/>
      <c r="B174" s="11"/>
      <c r="C174" s="11"/>
      <c r="D174" s="11"/>
      <c r="E174" s="14"/>
      <c r="F174" s="11"/>
      <c r="G174" s="11"/>
      <c r="H174" s="11"/>
      <c r="I174" s="11"/>
      <c r="J174" s="11"/>
      <c r="K174" s="14"/>
      <c r="L174" s="16"/>
    </row>
    <row r="175" spans="1:12" ht="17.25" x14ac:dyDescent="0.3">
      <c r="A175" s="13"/>
      <c r="B175" s="11"/>
      <c r="C175" s="11"/>
      <c r="D175" s="11"/>
      <c r="E175" s="14"/>
      <c r="F175" s="11"/>
      <c r="G175" s="11"/>
      <c r="H175" s="11"/>
      <c r="I175" s="11"/>
      <c r="J175" s="11"/>
      <c r="K175" s="14"/>
      <c r="L175" s="16"/>
    </row>
    <row r="176" spans="1:12" ht="18" thickBot="1" x14ac:dyDescent="0.35">
      <c r="A176" s="17"/>
      <c r="B176" s="18"/>
      <c r="C176" s="18"/>
      <c r="D176" s="18"/>
      <c r="E176" s="19"/>
      <c r="F176" s="18"/>
      <c r="G176" s="18"/>
      <c r="H176" s="18"/>
      <c r="I176" s="18"/>
      <c r="J176" s="18"/>
      <c r="K176" s="19"/>
      <c r="L176" s="20"/>
    </row>
    <row r="179" spans="1:12" ht="18.75" x14ac:dyDescent="0.3">
      <c r="A179" s="128"/>
      <c r="B179" s="128"/>
      <c r="C179" s="128"/>
      <c r="D179" s="128"/>
      <c r="E179" s="128"/>
      <c r="F179" s="128"/>
      <c r="G179" s="128"/>
      <c r="H179" s="128"/>
      <c r="I179" s="128" t="s">
        <v>7</v>
      </c>
      <c r="J179" s="128"/>
      <c r="K179" s="129"/>
      <c r="L179" s="129"/>
    </row>
    <row r="180" spans="1:12" ht="18" thickBot="1" x14ac:dyDescent="0.35">
      <c r="A180" s="111" t="s">
        <v>2</v>
      </c>
      <c r="B180" s="112"/>
      <c r="C180" s="112" t="s">
        <v>3</v>
      </c>
      <c r="D180" s="112" t="s">
        <v>10</v>
      </c>
      <c r="E180" s="115" t="s">
        <v>11</v>
      </c>
      <c r="F180" s="115"/>
      <c r="G180" s="112" t="s">
        <v>2</v>
      </c>
      <c r="H180" s="112"/>
      <c r="I180" s="112" t="s">
        <v>3</v>
      </c>
      <c r="J180" s="112" t="s">
        <v>10</v>
      </c>
      <c r="K180" s="115" t="s">
        <v>12</v>
      </c>
      <c r="L180" s="104"/>
    </row>
    <row r="181" spans="1:12" ht="17.25" x14ac:dyDescent="0.3">
      <c r="A181" s="11"/>
      <c r="B181" s="11"/>
      <c r="C181" s="11"/>
      <c r="D181" s="9"/>
      <c r="E181" s="14"/>
      <c r="F181" s="11"/>
      <c r="G181" s="11"/>
      <c r="H181" s="11"/>
      <c r="I181" s="11"/>
      <c r="J181" s="11"/>
      <c r="K181" s="14"/>
      <c r="L181" s="16"/>
    </row>
    <row r="182" spans="1:12" ht="17.25" x14ac:dyDescent="0.3">
      <c r="A182" s="13"/>
      <c r="B182" s="11"/>
      <c r="C182" s="11"/>
      <c r="D182" s="11"/>
      <c r="E182" s="14"/>
      <c r="F182" s="11"/>
      <c r="G182" s="11"/>
      <c r="H182" s="11"/>
      <c r="I182" s="11"/>
      <c r="J182" s="11"/>
      <c r="K182" s="14"/>
      <c r="L182" s="16"/>
    </row>
    <row r="183" spans="1:12" ht="17.25" x14ac:dyDescent="0.3">
      <c r="A183" s="13"/>
      <c r="B183" s="11"/>
      <c r="C183" s="11"/>
      <c r="D183" s="11"/>
      <c r="E183" s="14"/>
      <c r="F183" s="11"/>
      <c r="G183" s="11"/>
      <c r="H183" s="11"/>
      <c r="I183" s="11"/>
      <c r="J183" s="11"/>
      <c r="K183" s="14"/>
      <c r="L183" s="16"/>
    </row>
    <row r="184" spans="1:12" ht="17.25" x14ac:dyDescent="0.3">
      <c r="A184" s="13"/>
      <c r="B184" s="11"/>
      <c r="C184" s="11"/>
      <c r="D184" s="11"/>
      <c r="E184" s="14"/>
      <c r="F184" s="11"/>
      <c r="G184" s="11"/>
      <c r="H184" s="11"/>
      <c r="I184" s="11"/>
      <c r="J184" s="11"/>
      <c r="K184" s="14"/>
      <c r="L184" s="16"/>
    </row>
    <row r="185" spans="1:12" ht="17.25" x14ac:dyDescent="0.3">
      <c r="A185" s="13"/>
      <c r="B185" s="11"/>
      <c r="C185" s="11"/>
      <c r="D185" s="11"/>
      <c r="E185" s="14"/>
      <c r="F185" s="11"/>
      <c r="G185" s="11"/>
      <c r="H185" s="11"/>
      <c r="I185" s="11"/>
      <c r="J185" s="11"/>
      <c r="K185" s="14"/>
      <c r="L185" s="16"/>
    </row>
    <row r="186" spans="1:12" ht="17.25" x14ac:dyDescent="0.3">
      <c r="A186" s="13"/>
      <c r="B186" s="11"/>
      <c r="C186" s="11"/>
      <c r="D186" s="11"/>
      <c r="E186" s="14"/>
      <c r="F186" s="11"/>
      <c r="G186" s="11"/>
      <c r="H186" s="11"/>
      <c r="I186" s="11"/>
      <c r="J186" s="11"/>
      <c r="K186" s="14"/>
      <c r="L186" s="16"/>
    </row>
    <row r="187" spans="1:12" ht="17.25" x14ac:dyDescent="0.3">
      <c r="A187" s="13"/>
      <c r="B187" s="11"/>
      <c r="C187" s="11"/>
      <c r="D187" s="11"/>
      <c r="E187" s="14"/>
      <c r="F187" s="11"/>
      <c r="G187" s="11"/>
      <c r="H187" s="11"/>
      <c r="I187" s="11"/>
      <c r="J187" s="11"/>
      <c r="K187" s="14"/>
      <c r="L187" s="16"/>
    </row>
    <row r="188" spans="1:12" ht="17.25" x14ac:dyDescent="0.3">
      <c r="A188" s="13"/>
      <c r="B188" s="11"/>
      <c r="C188" s="11"/>
      <c r="D188" s="11"/>
      <c r="E188" s="14"/>
      <c r="F188" s="11"/>
      <c r="G188" s="11"/>
      <c r="H188" s="11"/>
      <c r="I188" s="11"/>
      <c r="J188" s="11"/>
      <c r="K188" s="14"/>
      <c r="L188" s="16"/>
    </row>
    <row r="189" spans="1:12" ht="18" thickBot="1" x14ac:dyDescent="0.35">
      <c r="A189" s="17"/>
      <c r="B189" s="18"/>
      <c r="C189" s="18"/>
      <c r="D189" s="18"/>
      <c r="E189" s="19"/>
      <c r="F189" s="18"/>
      <c r="G189" s="18"/>
      <c r="H189" s="18"/>
      <c r="I189" s="18"/>
      <c r="J189" s="18"/>
      <c r="K189" s="19"/>
      <c r="L189" s="20"/>
    </row>
    <row r="192" spans="1:12" ht="18.75" x14ac:dyDescent="0.3">
      <c r="A192" s="128"/>
      <c r="B192" s="128"/>
      <c r="C192" s="128"/>
      <c r="D192" s="128"/>
      <c r="E192" s="128"/>
      <c r="F192" s="128"/>
      <c r="G192" s="128"/>
      <c r="H192" s="128"/>
      <c r="I192" s="128" t="s">
        <v>7</v>
      </c>
      <c r="J192" s="128"/>
      <c r="K192" s="129"/>
      <c r="L192" s="129"/>
    </row>
    <row r="193" spans="1:12" ht="18" thickBot="1" x14ac:dyDescent="0.35">
      <c r="A193" s="111" t="s">
        <v>2</v>
      </c>
      <c r="B193" s="114"/>
      <c r="C193" s="112" t="s">
        <v>3</v>
      </c>
      <c r="D193" s="112" t="s">
        <v>10</v>
      </c>
      <c r="E193" s="103" t="s">
        <v>11</v>
      </c>
      <c r="F193" s="115"/>
      <c r="G193" s="112" t="s">
        <v>2</v>
      </c>
      <c r="H193" s="112"/>
      <c r="I193" s="112" t="s">
        <v>3</v>
      </c>
      <c r="J193" s="112" t="s">
        <v>10</v>
      </c>
      <c r="K193" s="115" t="s">
        <v>12</v>
      </c>
      <c r="L193" s="104"/>
    </row>
    <row r="194" spans="1:12" ht="17.25" x14ac:dyDescent="0.3">
      <c r="A194" s="11"/>
      <c r="B194" s="55"/>
      <c r="C194" s="11"/>
      <c r="D194" s="9"/>
      <c r="E194" s="53"/>
      <c r="F194" s="11"/>
      <c r="G194" s="11"/>
      <c r="H194" s="11"/>
      <c r="I194" s="11"/>
      <c r="J194" s="11"/>
      <c r="K194" s="14"/>
      <c r="L194" s="16"/>
    </row>
    <row r="195" spans="1:12" ht="17.25" x14ac:dyDescent="0.3">
      <c r="A195" s="13"/>
      <c r="B195" s="55"/>
      <c r="C195" s="11"/>
      <c r="D195" s="9"/>
      <c r="E195" s="53"/>
      <c r="F195" s="11"/>
      <c r="G195" s="11"/>
      <c r="H195" s="11"/>
      <c r="I195" s="11"/>
      <c r="J195" s="11"/>
      <c r="K195" s="14"/>
      <c r="L195" s="16"/>
    </row>
    <row r="196" spans="1:12" ht="17.25" x14ac:dyDescent="0.3">
      <c r="A196" s="13"/>
      <c r="B196" s="55"/>
      <c r="C196" s="11"/>
      <c r="D196" s="9"/>
      <c r="E196" s="53"/>
      <c r="F196" s="11"/>
      <c r="G196" s="11"/>
      <c r="H196" s="11"/>
      <c r="I196" s="11"/>
      <c r="J196" s="11"/>
      <c r="K196" s="14"/>
      <c r="L196" s="16"/>
    </row>
    <row r="197" spans="1:12" ht="17.25" x14ac:dyDescent="0.3">
      <c r="A197" s="13"/>
      <c r="B197" s="55"/>
      <c r="C197" s="11"/>
      <c r="D197" s="9"/>
      <c r="E197" s="93"/>
      <c r="F197" s="11"/>
      <c r="G197" s="11"/>
      <c r="H197" s="11"/>
      <c r="I197" s="11"/>
      <c r="J197" s="11"/>
      <c r="K197" s="14"/>
      <c r="L197" s="16"/>
    </row>
    <row r="198" spans="1:12" ht="17.25" x14ac:dyDescent="0.3">
      <c r="A198" s="13"/>
      <c r="B198" s="55"/>
      <c r="C198" s="11"/>
      <c r="D198" s="9"/>
      <c r="E198" s="53"/>
      <c r="F198" s="11"/>
      <c r="G198" s="11"/>
      <c r="H198" s="11"/>
      <c r="I198" s="11"/>
      <c r="J198" s="11"/>
      <c r="K198" s="14"/>
      <c r="L198" s="16"/>
    </row>
    <row r="199" spans="1:12" ht="17.25" x14ac:dyDescent="0.3">
      <c r="A199" s="13"/>
      <c r="B199" s="55"/>
      <c r="C199" s="11"/>
      <c r="D199" s="9"/>
      <c r="E199" s="53"/>
      <c r="F199" s="11"/>
      <c r="G199" s="11"/>
      <c r="H199" s="11"/>
      <c r="I199" s="11"/>
      <c r="J199" s="11"/>
      <c r="K199" s="14"/>
      <c r="L199" s="16"/>
    </row>
    <row r="200" spans="1:12" ht="17.25" x14ac:dyDescent="0.3">
      <c r="A200" s="13"/>
      <c r="B200" s="11"/>
      <c r="C200" s="11"/>
      <c r="D200" s="11"/>
      <c r="E200" s="14"/>
      <c r="F200" s="11"/>
      <c r="G200" s="11"/>
      <c r="H200" s="11"/>
      <c r="I200" s="11"/>
      <c r="J200" s="11"/>
      <c r="K200" s="14"/>
      <c r="L200" s="16"/>
    </row>
    <row r="201" spans="1:12" ht="17.25" x14ac:dyDescent="0.3">
      <c r="A201" s="13"/>
      <c r="B201" s="11"/>
      <c r="C201" s="11"/>
      <c r="D201" s="11"/>
      <c r="E201" s="14"/>
      <c r="F201" s="11"/>
      <c r="G201" s="11"/>
      <c r="H201" s="11"/>
      <c r="I201" s="11"/>
      <c r="J201" s="11"/>
      <c r="K201" s="14"/>
      <c r="L201" s="16"/>
    </row>
    <row r="202" spans="1:12" ht="18" thickBot="1" x14ac:dyDescent="0.35">
      <c r="A202" s="17"/>
      <c r="B202" s="18"/>
      <c r="C202" s="18"/>
      <c r="D202" s="18"/>
      <c r="E202" s="19"/>
      <c r="F202" s="18"/>
      <c r="G202" s="18"/>
      <c r="H202" s="18"/>
      <c r="I202" s="18"/>
      <c r="J202" s="18"/>
      <c r="K202" s="19"/>
      <c r="L202" s="20"/>
    </row>
  </sheetData>
  <mergeCells count="70">
    <mergeCell ref="A106:H106"/>
    <mergeCell ref="A179:H179"/>
    <mergeCell ref="A68:H68"/>
    <mergeCell ref="I68:J68"/>
    <mergeCell ref="K68:L68"/>
    <mergeCell ref="E69:F69"/>
    <mergeCell ref="K69:L69"/>
    <mergeCell ref="A166:H166"/>
    <mergeCell ref="A154:H154"/>
    <mergeCell ref="A118:H118"/>
    <mergeCell ref="I118:J118"/>
    <mergeCell ref="K118:L118"/>
    <mergeCell ref="E119:F119"/>
    <mergeCell ref="K119:L119"/>
    <mergeCell ref="A130:H130"/>
    <mergeCell ref="A142:H142"/>
    <mergeCell ref="A94:H94"/>
    <mergeCell ref="I94:J94"/>
    <mergeCell ref="K94:L94"/>
    <mergeCell ref="E95:F95"/>
    <mergeCell ref="K95:L95"/>
    <mergeCell ref="A30:H30"/>
    <mergeCell ref="I30:J30"/>
    <mergeCell ref="K30:L30"/>
    <mergeCell ref="E31:F31"/>
    <mergeCell ref="K31:L31"/>
    <mergeCell ref="A14:H14"/>
    <mergeCell ref="I14:J14"/>
    <mergeCell ref="K14:L14"/>
    <mergeCell ref="E15:F15"/>
    <mergeCell ref="K15:L15"/>
    <mergeCell ref="A1:L1"/>
    <mergeCell ref="A2:H2"/>
    <mergeCell ref="E4:F4"/>
    <mergeCell ref="K4:L4"/>
    <mergeCell ref="A13:L13"/>
    <mergeCell ref="I3:J3"/>
    <mergeCell ref="A3:H3"/>
    <mergeCell ref="E54:F54"/>
    <mergeCell ref="K54:L54"/>
    <mergeCell ref="A192:H192"/>
    <mergeCell ref="A40:H40"/>
    <mergeCell ref="I40:J40"/>
    <mergeCell ref="E41:F41"/>
    <mergeCell ref="K41:L41"/>
    <mergeCell ref="A53:H53"/>
    <mergeCell ref="I53:J53"/>
    <mergeCell ref="E82:F82"/>
    <mergeCell ref="K82:L82"/>
    <mergeCell ref="A81:H81"/>
    <mergeCell ref="I81:J81"/>
    <mergeCell ref="K81:L81"/>
    <mergeCell ref="K106:L106"/>
    <mergeCell ref="E107:F107"/>
    <mergeCell ref="K53:L53"/>
    <mergeCell ref="K40:L40"/>
    <mergeCell ref="K130:L130"/>
    <mergeCell ref="K142:L142"/>
    <mergeCell ref="I130:J130"/>
    <mergeCell ref="I142:J142"/>
    <mergeCell ref="K107:L107"/>
    <mergeCell ref="I106:J106"/>
    <mergeCell ref="I154:J154"/>
    <mergeCell ref="K154:L154"/>
    <mergeCell ref="I179:J179"/>
    <mergeCell ref="K179:L179"/>
    <mergeCell ref="I192:J192"/>
    <mergeCell ref="K192:L192"/>
    <mergeCell ref="K166:L166"/>
    <mergeCell ref="I166:J166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47EA-01A5-47CD-BDFD-915B39961E99}">
  <dimension ref="A1:G31"/>
  <sheetViews>
    <sheetView topLeftCell="A8" zoomScale="115" zoomScaleNormal="115" workbookViewId="0">
      <selection activeCell="A12" sqref="A12"/>
    </sheetView>
  </sheetViews>
  <sheetFormatPr baseColWidth="10" defaultColWidth="9.140625" defaultRowHeight="15" x14ac:dyDescent="0.25"/>
  <cols>
    <col min="1" max="1" width="49" customWidth="1"/>
    <col min="2" max="2" width="19.7109375" bestFit="1" customWidth="1"/>
    <col min="3" max="3" width="0.42578125" customWidth="1"/>
    <col min="4" max="4" width="19.28515625" bestFit="1" customWidth="1"/>
    <col min="7" max="7" width="11.5703125" bestFit="1" customWidth="1"/>
  </cols>
  <sheetData>
    <row r="1" spans="1:4" ht="18.75" x14ac:dyDescent="0.3">
      <c r="A1" s="151"/>
      <c r="B1" s="151"/>
      <c r="C1" s="151"/>
      <c r="D1" s="151"/>
    </row>
    <row r="2" spans="1:4" ht="18.75" x14ac:dyDescent="0.3">
      <c r="A2" s="151" t="s">
        <v>17</v>
      </c>
      <c r="B2" s="151"/>
      <c r="C2" s="151"/>
      <c r="D2" s="151"/>
    </row>
    <row r="3" spans="1:4" ht="18.75" x14ac:dyDescent="0.3">
      <c r="A3" s="152"/>
      <c r="B3" s="152"/>
      <c r="C3" s="152"/>
      <c r="D3" s="152"/>
    </row>
    <row r="4" spans="1:4" ht="18.75" x14ac:dyDescent="0.3">
      <c r="A4" s="151" t="s">
        <v>18</v>
      </c>
      <c r="B4" s="151"/>
      <c r="C4" s="151"/>
      <c r="D4" s="151"/>
    </row>
    <row r="5" spans="1:4" ht="18.75" x14ac:dyDescent="0.3">
      <c r="A5" s="26"/>
      <c r="B5" s="26"/>
      <c r="C5" s="26"/>
      <c r="D5" s="26"/>
    </row>
    <row r="6" spans="1:4" ht="18.75" x14ac:dyDescent="0.3">
      <c r="A6" s="27" t="s">
        <v>19</v>
      </c>
      <c r="B6" s="28" t="s">
        <v>0</v>
      </c>
      <c r="C6" s="65"/>
      <c r="D6" s="29" t="s">
        <v>1</v>
      </c>
    </row>
    <row r="7" spans="1:4" ht="18.75" x14ac:dyDescent="0.3">
      <c r="A7" s="30" t="s">
        <v>25</v>
      </c>
      <c r="B7" s="31">
        <v>125444</v>
      </c>
      <c r="C7" s="66"/>
      <c r="D7" s="32"/>
    </row>
    <row r="8" spans="1:4" ht="18.75" x14ac:dyDescent="0.3">
      <c r="A8" s="30" t="s">
        <v>26</v>
      </c>
      <c r="B8" s="31">
        <v>350</v>
      </c>
      <c r="C8" s="66"/>
      <c r="D8" s="32"/>
    </row>
    <row r="9" spans="1:4" ht="18.75" x14ac:dyDescent="0.3">
      <c r="A9" s="30" t="s">
        <v>61</v>
      </c>
      <c r="B9" s="31">
        <v>10272</v>
      </c>
      <c r="C9" s="66"/>
      <c r="D9" s="32"/>
    </row>
    <row r="10" spans="1:4" ht="18.75" x14ac:dyDescent="0.3">
      <c r="A10" s="30" t="s">
        <v>51</v>
      </c>
      <c r="B10" s="31">
        <v>5300</v>
      </c>
      <c r="C10" s="66"/>
      <c r="D10" s="32"/>
    </row>
    <row r="11" spans="1:4" ht="18.75" x14ac:dyDescent="0.3">
      <c r="A11" s="30" t="s">
        <v>54</v>
      </c>
      <c r="B11" s="31"/>
      <c r="C11" s="66"/>
      <c r="D11" s="32"/>
    </row>
    <row r="12" spans="1:4" ht="18.75" x14ac:dyDescent="0.3">
      <c r="A12" s="30"/>
      <c r="B12" s="31"/>
      <c r="C12" s="66"/>
      <c r="D12" s="32"/>
    </row>
    <row r="13" spans="1:4" ht="18.75" x14ac:dyDescent="0.3">
      <c r="A13" s="161" t="s">
        <v>24</v>
      </c>
      <c r="B13" s="31"/>
      <c r="C13" s="66"/>
      <c r="D13" s="32">
        <v>135000</v>
      </c>
    </row>
    <row r="14" spans="1:4" ht="18.75" x14ac:dyDescent="0.3">
      <c r="A14" s="161" t="s">
        <v>58</v>
      </c>
      <c r="B14" s="31">
        <v>6200</v>
      </c>
      <c r="C14" s="66"/>
      <c r="D14" s="32"/>
    </row>
    <row r="15" spans="1:4" ht="18.75" x14ac:dyDescent="0.3">
      <c r="A15" s="161" t="s">
        <v>76</v>
      </c>
      <c r="B15" s="31">
        <v>1500</v>
      </c>
      <c r="C15" s="66"/>
      <c r="D15" s="32"/>
    </row>
    <row r="16" spans="1:4" ht="18.75" x14ac:dyDescent="0.3">
      <c r="A16" s="30" t="s">
        <v>72</v>
      </c>
      <c r="B16" s="31"/>
      <c r="C16" s="66"/>
      <c r="D16" s="32"/>
    </row>
    <row r="17" spans="1:7" ht="18.75" x14ac:dyDescent="0.3">
      <c r="A17" s="30" t="s">
        <v>69</v>
      </c>
      <c r="B17" s="31"/>
      <c r="C17" s="66"/>
      <c r="D17" s="32"/>
    </row>
    <row r="18" spans="1:7" ht="18.75" x14ac:dyDescent="0.3">
      <c r="A18" s="30" t="s">
        <v>67</v>
      </c>
      <c r="B18" s="31"/>
      <c r="C18" s="66"/>
      <c r="D18" s="32"/>
    </row>
    <row r="19" spans="1:7" ht="18.75" x14ac:dyDescent="0.3">
      <c r="A19" s="30" t="s">
        <v>27</v>
      </c>
      <c r="B19" s="31">
        <v>429.45</v>
      </c>
      <c r="C19" s="66"/>
      <c r="D19" s="32"/>
    </row>
    <row r="20" spans="1:7" ht="18.75" x14ac:dyDescent="0.3">
      <c r="A20" s="30"/>
      <c r="B20" s="31"/>
      <c r="C20" s="66"/>
      <c r="D20" s="32"/>
    </row>
    <row r="21" spans="1:7" ht="18.75" x14ac:dyDescent="0.3">
      <c r="A21" s="30"/>
      <c r="B21" s="31"/>
      <c r="C21" s="66"/>
      <c r="D21" s="32"/>
    </row>
    <row r="22" spans="1:7" ht="18.75" x14ac:dyDescent="0.3">
      <c r="A22" s="30"/>
      <c r="B22" s="31"/>
      <c r="C22" s="66"/>
      <c r="D22" s="32"/>
    </row>
    <row r="23" spans="1:7" ht="18.75" x14ac:dyDescent="0.3">
      <c r="A23" s="30"/>
      <c r="B23" s="31"/>
      <c r="C23" s="66"/>
      <c r="D23" s="32"/>
    </row>
    <row r="24" spans="1:7" ht="18.75" x14ac:dyDescent="0.3">
      <c r="A24" s="30"/>
      <c r="B24" s="31"/>
      <c r="C24" s="66"/>
      <c r="D24" s="32"/>
    </row>
    <row r="25" spans="1:7" ht="18.75" x14ac:dyDescent="0.3">
      <c r="A25" s="30"/>
      <c r="B25" s="31"/>
      <c r="C25" s="66"/>
      <c r="D25" s="32"/>
    </row>
    <row r="26" spans="1:7" ht="18.75" x14ac:dyDescent="0.3">
      <c r="A26" s="30"/>
      <c r="B26" s="31"/>
      <c r="C26" s="66"/>
      <c r="D26" s="32"/>
    </row>
    <row r="27" spans="1:7" ht="18.75" x14ac:dyDescent="0.3">
      <c r="A27" s="30"/>
      <c r="B27" s="31"/>
      <c r="C27" s="66"/>
      <c r="D27" s="32"/>
    </row>
    <row r="28" spans="1:7" ht="18.75" x14ac:dyDescent="0.3">
      <c r="A28" s="30"/>
      <c r="B28" s="31"/>
      <c r="C28" s="66"/>
      <c r="D28" s="32"/>
    </row>
    <row r="29" spans="1:7" ht="18.75" x14ac:dyDescent="0.3">
      <c r="A29" s="95"/>
      <c r="B29" s="31"/>
      <c r="C29" s="66"/>
      <c r="D29" s="32"/>
    </row>
    <row r="30" spans="1:7" ht="19.5" thickBot="1" x14ac:dyDescent="0.35">
      <c r="A30" s="4" t="s">
        <v>20</v>
      </c>
      <c r="B30" s="33">
        <f>SUM(B7:B29)</f>
        <v>149495.45000000001</v>
      </c>
      <c r="D30" s="33">
        <f>SUM(D7:D29)</f>
        <v>135000</v>
      </c>
      <c r="G30" s="96"/>
    </row>
    <row r="31" spans="1:7" ht="15.75" thickTop="1" x14ac:dyDescent="0.25"/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B027-E0AC-49FE-B67D-59670AA1D46A}">
  <sheetPr codeName="Sheet1"/>
  <dimension ref="A1:S57"/>
  <sheetViews>
    <sheetView topLeftCell="F8" zoomScale="101" zoomScaleNormal="70" workbookViewId="0">
      <selection activeCell="K10" sqref="K10"/>
    </sheetView>
  </sheetViews>
  <sheetFormatPr baseColWidth="10" defaultColWidth="8.85546875" defaultRowHeight="15" x14ac:dyDescent="0.25"/>
  <cols>
    <col min="1" max="1" width="8.85546875" style="35"/>
    <col min="2" max="2" width="9.140625" style="35" bestFit="1" customWidth="1"/>
    <col min="3" max="3" width="53" style="35" customWidth="1"/>
    <col min="4" max="4" width="10.42578125" style="35" customWidth="1"/>
    <col min="5" max="5" width="19" style="35" customWidth="1"/>
    <col min="6" max="6" width="18.7109375" style="35" customWidth="1"/>
    <col min="7" max="7" width="9.140625" style="35" bestFit="1" customWidth="1"/>
    <col min="8" max="8" width="16.7109375" style="35" customWidth="1"/>
    <col min="9" max="9" width="17.85546875" style="35" customWidth="1"/>
    <col min="10" max="10" width="9.140625" style="35" bestFit="1" customWidth="1"/>
    <col min="11" max="11" width="8.85546875" style="35"/>
    <col min="12" max="12" width="3.7109375" style="35" customWidth="1"/>
    <col min="13" max="13" width="15.42578125" style="35" customWidth="1"/>
    <col min="14" max="14" width="17" style="35" customWidth="1"/>
    <col min="15" max="15" width="9" style="35" bestFit="1" customWidth="1"/>
    <col min="16" max="16" width="6.5703125" style="35" customWidth="1"/>
    <col min="17" max="17" width="16.28515625" style="35" customWidth="1"/>
    <col min="18" max="18" width="24.5703125" style="35" customWidth="1"/>
    <col min="19" max="19" width="9" style="35" bestFit="1" customWidth="1"/>
    <col min="20" max="16384" width="8.85546875" style="35"/>
  </cols>
  <sheetData>
    <row r="1" spans="1:19" ht="24" x14ac:dyDescent="0.25">
      <c r="A1" s="125" t="s">
        <v>5</v>
      </c>
      <c r="B1" s="126"/>
      <c r="C1" s="126"/>
      <c r="D1" s="126"/>
      <c r="E1" s="127"/>
      <c r="F1" s="42"/>
      <c r="G1" s="38"/>
      <c r="H1" s="117" t="s">
        <v>25</v>
      </c>
      <c r="I1" s="117"/>
      <c r="J1" s="92">
        <v>101</v>
      </c>
      <c r="K1" s="34"/>
      <c r="M1" s="117" t="s">
        <v>24</v>
      </c>
      <c r="N1" s="117"/>
      <c r="O1" s="92">
        <v>300</v>
      </c>
      <c r="P1" s="34"/>
      <c r="Q1" s="117" t="s">
        <v>26</v>
      </c>
      <c r="R1" s="117"/>
      <c r="S1" s="91">
        <v>100</v>
      </c>
    </row>
    <row r="2" spans="1:19" ht="18.75" x14ac:dyDescent="0.25">
      <c r="A2" s="119"/>
      <c r="B2" s="120"/>
      <c r="C2" s="120"/>
      <c r="D2" s="120"/>
      <c r="E2" s="120"/>
      <c r="F2" s="120"/>
      <c r="G2" s="38"/>
      <c r="H2" s="43" t="s">
        <v>0</v>
      </c>
      <c r="I2" s="43" t="s">
        <v>1</v>
      </c>
      <c r="J2" s="38"/>
      <c r="M2" s="43" t="s">
        <v>0</v>
      </c>
      <c r="N2" s="43" t="s">
        <v>1</v>
      </c>
      <c r="O2" s="38"/>
      <c r="Q2" s="43" t="s">
        <v>0</v>
      </c>
      <c r="R2" s="43" t="s">
        <v>1</v>
      </c>
    </row>
    <row r="3" spans="1:19" ht="15.75" x14ac:dyDescent="0.25">
      <c r="A3" s="121" t="s">
        <v>23</v>
      </c>
      <c r="B3" s="118"/>
      <c r="C3" s="118"/>
      <c r="D3" s="118"/>
      <c r="E3" s="118"/>
      <c r="F3" s="118"/>
      <c r="G3" s="38">
        <v>1</v>
      </c>
      <c r="H3" s="44">
        <v>135000</v>
      </c>
      <c r="I3" s="45">
        <v>350</v>
      </c>
      <c r="J3" s="38">
        <v>2</v>
      </c>
      <c r="M3" s="44"/>
      <c r="N3" s="45">
        <v>135000</v>
      </c>
      <c r="O3" s="38">
        <v>1</v>
      </c>
      <c r="P3" s="35">
        <v>2</v>
      </c>
      <c r="Q3" s="44">
        <v>350</v>
      </c>
      <c r="R3" s="46"/>
      <c r="S3" s="37"/>
    </row>
    <row r="4" spans="1:19" x14ac:dyDescent="0.25">
      <c r="A4" s="122"/>
      <c r="B4" s="123"/>
      <c r="C4" s="123"/>
      <c r="D4" s="123"/>
      <c r="E4" s="123"/>
      <c r="F4" s="123"/>
      <c r="G4" s="38">
        <v>22</v>
      </c>
      <c r="H4" s="47">
        <v>5000</v>
      </c>
      <c r="I4" s="45">
        <v>1500</v>
      </c>
      <c r="J4" s="38">
        <v>5</v>
      </c>
      <c r="M4" s="47"/>
      <c r="N4" s="45"/>
      <c r="O4" s="38"/>
      <c r="Q4" s="47"/>
      <c r="R4" s="46"/>
      <c r="S4" s="37"/>
    </row>
    <row r="5" spans="1:19" ht="15.75" x14ac:dyDescent="0.25">
      <c r="A5" s="124" t="s">
        <v>2</v>
      </c>
      <c r="B5" s="124"/>
      <c r="C5" s="3" t="s">
        <v>3</v>
      </c>
      <c r="D5" s="3" t="s">
        <v>4</v>
      </c>
      <c r="E5" s="3" t="s">
        <v>0</v>
      </c>
      <c r="F5" s="3" t="s">
        <v>1</v>
      </c>
      <c r="G5" s="40"/>
      <c r="H5" s="48"/>
      <c r="I5" s="74">
        <f>(5300+5300*7%) *50%</f>
        <v>2835.5</v>
      </c>
      <c r="J5" s="38">
        <v>9</v>
      </c>
      <c r="M5" s="78"/>
      <c r="N5" s="79"/>
      <c r="O5" s="38"/>
      <c r="Q5" s="50"/>
      <c r="R5" s="49"/>
    </row>
    <row r="6" spans="1:19" ht="16.5" thickBot="1" x14ac:dyDescent="0.3">
      <c r="A6" s="124">
        <v>2025</v>
      </c>
      <c r="B6" s="124"/>
      <c r="C6" s="51"/>
      <c r="D6" s="51"/>
      <c r="E6" s="51"/>
      <c r="F6" s="51"/>
      <c r="G6" s="38"/>
      <c r="H6" s="47"/>
      <c r="I6" s="46">
        <v>6200</v>
      </c>
      <c r="J6" s="38">
        <v>15</v>
      </c>
      <c r="M6" s="46"/>
      <c r="N6" s="86">
        <f>N3</f>
        <v>135000</v>
      </c>
      <c r="O6" s="38"/>
      <c r="Q6" s="80"/>
      <c r="R6" s="81"/>
    </row>
    <row r="7" spans="1:19" ht="17.25" thickTop="1" thickBot="1" x14ac:dyDescent="0.3">
      <c r="A7" s="3"/>
      <c r="B7" s="3">
        <v>1</v>
      </c>
      <c r="C7" s="52" t="s">
        <v>25</v>
      </c>
      <c r="D7" s="52"/>
      <c r="E7" s="53">
        <v>135000</v>
      </c>
      <c r="F7" s="53"/>
      <c r="G7" s="38"/>
      <c r="H7" s="73"/>
      <c r="I7" s="46">
        <v>380</v>
      </c>
      <c r="J7" s="38">
        <v>26</v>
      </c>
      <c r="M7" s="46"/>
      <c r="N7" s="54"/>
      <c r="O7" s="38"/>
      <c r="Q7" s="72">
        <f>Q3</f>
        <v>350</v>
      </c>
      <c r="R7" s="45"/>
    </row>
    <row r="8" spans="1:19" ht="16.5" thickTop="1" x14ac:dyDescent="0.25">
      <c r="A8" s="55"/>
      <c r="B8" s="3"/>
      <c r="C8" s="52" t="s">
        <v>46</v>
      </c>
      <c r="D8" s="52"/>
      <c r="E8" s="53"/>
      <c r="F8" s="53">
        <v>135000</v>
      </c>
      <c r="G8" s="38"/>
      <c r="H8" s="73"/>
      <c r="I8" s="45">
        <f>(5300+5300*7%) *50%</f>
        <v>2835.5</v>
      </c>
      <c r="J8" s="38">
        <v>29</v>
      </c>
      <c r="M8" s="117" t="s">
        <v>27</v>
      </c>
      <c r="N8" s="117"/>
      <c r="O8" s="92">
        <v>605</v>
      </c>
      <c r="Q8" s="46"/>
    </row>
    <row r="9" spans="1:19" ht="15.75" x14ac:dyDescent="0.25">
      <c r="A9" s="3"/>
      <c r="B9" s="3"/>
      <c r="C9" s="52" t="s">
        <v>47</v>
      </c>
      <c r="D9" s="52"/>
      <c r="E9" s="53"/>
      <c r="F9" s="53"/>
      <c r="G9" s="38"/>
      <c r="H9" s="47"/>
      <c r="I9" s="45">
        <v>455</v>
      </c>
      <c r="J9" s="38">
        <v>30</v>
      </c>
      <c r="L9" s="38"/>
      <c r="M9" s="43" t="s">
        <v>0</v>
      </c>
      <c r="N9" s="43" t="s">
        <v>1</v>
      </c>
      <c r="O9" s="38"/>
      <c r="R9" s="63"/>
    </row>
    <row r="10" spans="1:19" ht="15.75" x14ac:dyDescent="0.25">
      <c r="A10" s="3"/>
      <c r="B10" s="3">
        <v>2</v>
      </c>
      <c r="C10" s="52" t="s">
        <v>26</v>
      </c>
      <c r="D10" s="52"/>
      <c r="E10" s="53">
        <v>350</v>
      </c>
      <c r="F10" s="53"/>
      <c r="G10" s="38"/>
      <c r="H10" s="54"/>
      <c r="I10" s="75"/>
      <c r="J10" s="38"/>
      <c r="L10" s="38">
        <v>9</v>
      </c>
      <c r="M10" s="44">
        <f>5300*7%</f>
        <v>371.00000000000006</v>
      </c>
      <c r="O10" s="38"/>
    </row>
    <row r="11" spans="1:19" ht="15.75" x14ac:dyDescent="0.25">
      <c r="A11" s="55"/>
      <c r="B11" s="3"/>
      <c r="C11" s="52" t="s">
        <v>48</v>
      </c>
      <c r="D11" s="52"/>
      <c r="E11" s="53"/>
      <c r="F11" s="53">
        <v>350</v>
      </c>
      <c r="G11" s="38"/>
      <c r="H11" s="76"/>
      <c r="I11" s="77"/>
      <c r="J11" s="38"/>
      <c r="L11" s="35">
        <v>26</v>
      </c>
      <c r="M11" s="47">
        <v>26.6</v>
      </c>
      <c r="O11" s="34"/>
      <c r="P11" s="34"/>
      <c r="Q11" s="117" t="s">
        <v>28</v>
      </c>
      <c r="R11" s="117"/>
      <c r="S11" s="92">
        <v>201</v>
      </c>
    </row>
    <row r="12" spans="1:19" ht="30.75" thickBot="1" x14ac:dyDescent="0.3">
      <c r="A12" s="55"/>
      <c r="B12" s="3"/>
      <c r="C12" s="69" t="s">
        <v>49</v>
      </c>
      <c r="D12" s="52"/>
      <c r="E12" s="53"/>
      <c r="F12" s="53"/>
      <c r="G12" s="38"/>
      <c r="H12" s="85">
        <f>SUM(H3:H4)-SUM(I3:I11)</f>
        <v>125444</v>
      </c>
      <c r="J12" s="34"/>
      <c r="K12" s="34"/>
      <c r="L12" s="38">
        <v>30</v>
      </c>
      <c r="M12" s="47">
        <f>(410*7%)+ (45*7%)</f>
        <v>31.85</v>
      </c>
      <c r="N12" s="56"/>
      <c r="O12" s="38"/>
      <c r="Q12" s="43" t="s">
        <v>0</v>
      </c>
      <c r="R12" s="43" t="s">
        <v>1</v>
      </c>
      <c r="S12" s="36"/>
    </row>
    <row r="13" spans="1:19" ht="16.5" thickTop="1" x14ac:dyDescent="0.25">
      <c r="A13" s="55"/>
      <c r="B13" s="3">
        <v>5</v>
      </c>
      <c r="C13" s="52" t="s">
        <v>65</v>
      </c>
      <c r="D13" s="52"/>
      <c r="E13" s="53">
        <v>1500</v>
      </c>
      <c r="F13" s="53"/>
      <c r="G13" s="38"/>
      <c r="H13" s="118"/>
      <c r="I13" s="118"/>
      <c r="J13" s="38"/>
      <c r="M13" s="48"/>
      <c r="N13" s="45"/>
      <c r="Q13" s="44"/>
      <c r="R13" s="45">
        <f>9600*7%</f>
        <v>672.00000000000011</v>
      </c>
      <c r="S13" s="35">
        <v>14</v>
      </c>
    </row>
    <row r="14" spans="1:19" ht="15.75" x14ac:dyDescent="0.25">
      <c r="A14" s="55"/>
      <c r="B14" s="3"/>
      <c r="C14" s="52" t="s">
        <v>48</v>
      </c>
      <c r="D14" s="52"/>
      <c r="E14" s="53"/>
      <c r="F14" s="53">
        <v>1500</v>
      </c>
      <c r="G14" s="38"/>
      <c r="H14" s="117" t="s">
        <v>32</v>
      </c>
      <c r="I14" s="117"/>
      <c r="J14" s="92">
        <v>102</v>
      </c>
      <c r="M14" s="47"/>
      <c r="N14" s="45"/>
      <c r="Q14" s="47"/>
      <c r="R14" s="46"/>
    </row>
    <row r="15" spans="1:19" ht="15.75" x14ac:dyDescent="0.25">
      <c r="A15" s="55"/>
      <c r="B15" s="3"/>
      <c r="C15" s="52"/>
      <c r="D15" s="52"/>
      <c r="E15" s="53"/>
      <c r="F15" s="53"/>
      <c r="G15" s="38"/>
      <c r="H15" s="43" t="s">
        <v>0</v>
      </c>
      <c r="I15" s="43" t="s">
        <v>1</v>
      </c>
      <c r="J15" s="38"/>
      <c r="M15" s="80"/>
      <c r="N15" s="84"/>
      <c r="O15" s="38"/>
      <c r="Q15" s="78"/>
      <c r="R15" s="83"/>
    </row>
    <row r="16" spans="1:19" ht="30.75" thickBot="1" x14ac:dyDescent="0.3">
      <c r="A16" s="55"/>
      <c r="B16" s="3"/>
      <c r="C16" s="69" t="s">
        <v>50</v>
      </c>
      <c r="D16" s="52"/>
      <c r="E16" s="53"/>
      <c r="F16" s="53"/>
      <c r="G16" s="38">
        <v>14</v>
      </c>
      <c r="H16" s="45">
        <f>9600+9600*7%</f>
        <v>10272</v>
      </c>
      <c r="I16" s="71">
        <v>5000</v>
      </c>
      <c r="J16" s="38">
        <v>22</v>
      </c>
      <c r="M16" s="88">
        <f>SUM(M10:M15)</f>
        <v>429.4500000000001</v>
      </c>
      <c r="O16" s="38"/>
      <c r="Q16" s="87"/>
      <c r="R16" s="72">
        <f>R13</f>
        <v>672.00000000000011</v>
      </c>
    </row>
    <row r="17" spans="1:19" ht="17.25" thickTop="1" thickBot="1" x14ac:dyDescent="0.3">
      <c r="A17" s="55"/>
      <c r="B17" s="3">
        <v>9</v>
      </c>
      <c r="C17" s="52" t="s">
        <v>51</v>
      </c>
      <c r="D17" s="52"/>
      <c r="E17" s="53">
        <v>5300</v>
      </c>
      <c r="F17" s="53"/>
      <c r="G17" s="38"/>
      <c r="H17" s="72">
        <f>H16</f>
        <v>10272</v>
      </c>
      <c r="I17" s="46"/>
      <c r="J17" s="38"/>
      <c r="O17" s="38"/>
      <c r="Q17" s="70"/>
      <c r="R17" s="54"/>
    </row>
    <row r="18" spans="1:19" ht="16.5" thickTop="1" x14ac:dyDescent="0.25">
      <c r="A18" s="55"/>
      <c r="B18" s="3"/>
      <c r="C18" s="35" t="s">
        <v>27</v>
      </c>
      <c r="D18" s="52"/>
      <c r="E18" s="53">
        <f>5300*7%</f>
        <v>371.00000000000006</v>
      </c>
      <c r="F18" s="53"/>
      <c r="G18" s="38"/>
      <c r="J18" s="38"/>
      <c r="O18" s="38"/>
    </row>
    <row r="19" spans="1:19" ht="15.75" x14ac:dyDescent="0.25">
      <c r="A19" s="55"/>
      <c r="B19" s="3"/>
      <c r="C19" s="68" t="s">
        <v>48</v>
      </c>
      <c r="D19" s="52"/>
      <c r="E19" s="53"/>
      <c r="F19" s="53">
        <f>(5300+5300*7%) *50%</f>
        <v>2835.5</v>
      </c>
      <c r="G19" s="41"/>
      <c r="H19" s="117" t="s">
        <v>33</v>
      </c>
      <c r="I19" s="117"/>
      <c r="J19" s="92">
        <v>200</v>
      </c>
      <c r="K19" s="34"/>
      <c r="M19" s="117" t="s">
        <v>65</v>
      </c>
      <c r="N19" s="117"/>
      <c r="O19" s="92">
        <v>601</v>
      </c>
      <c r="Q19" s="117"/>
      <c r="R19" s="117"/>
      <c r="S19" s="91"/>
    </row>
    <row r="20" spans="1:19" ht="15.75" x14ac:dyDescent="0.25">
      <c r="A20" s="55"/>
      <c r="B20" s="3"/>
      <c r="C20" s="67" t="s">
        <v>52</v>
      </c>
      <c r="D20" s="52"/>
      <c r="E20" s="53"/>
      <c r="F20" s="53">
        <f>(5300+5300*7%) *50%</f>
        <v>2835.5</v>
      </c>
      <c r="G20" s="38"/>
      <c r="H20" s="43" t="s">
        <v>0</v>
      </c>
      <c r="I20" s="43" t="s">
        <v>1</v>
      </c>
      <c r="J20" s="38"/>
      <c r="M20" s="43" t="s">
        <v>0</v>
      </c>
      <c r="N20" s="43" t="s">
        <v>1</v>
      </c>
      <c r="O20" s="38"/>
      <c r="Q20" s="43" t="s">
        <v>0</v>
      </c>
      <c r="R20" s="43" t="s">
        <v>1</v>
      </c>
    </row>
    <row r="21" spans="1:19" ht="30" x14ac:dyDescent="0.25">
      <c r="A21" s="55"/>
      <c r="B21" s="3"/>
      <c r="C21" s="69" t="s">
        <v>53</v>
      </c>
      <c r="D21" s="52"/>
      <c r="E21" s="53"/>
      <c r="F21" s="53"/>
      <c r="G21" s="38">
        <v>29</v>
      </c>
      <c r="H21" s="47">
        <f>(5300+5300*7%) *50%</f>
        <v>2835.5</v>
      </c>
      <c r="I21" s="45">
        <f>(5300+5300*7%) *50%</f>
        <v>2835.5</v>
      </c>
      <c r="J21" s="39">
        <v>9</v>
      </c>
      <c r="L21" s="35">
        <v>5</v>
      </c>
      <c r="M21" s="47">
        <v>1500</v>
      </c>
      <c r="N21" s="45"/>
      <c r="O21" s="38"/>
      <c r="Q21" s="47"/>
      <c r="R21" s="45"/>
    </row>
    <row r="22" spans="1:19" ht="15.75" x14ac:dyDescent="0.25">
      <c r="A22" s="55"/>
      <c r="B22" s="3">
        <v>14</v>
      </c>
      <c r="C22" s="52" t="s">
        <v>61</v>
      </c>
      <c r="D22" s="52"/>
      <c r="E22" s="53">
        <f>9600+9600*7%</f>
        <v>10272</v>
      </c>
      <c r="F22" s="52"/>
      <c r="G22" s="38"/>
      <c r="H22" s="47"/>
      <c r="I22" s="47"/>
      <c r="J22" s="38"/>
      <c r="M22" s="47"/>
      <c r="N22" s="45"/>
      <c r="O22" s="38"/>
      <c r="Q22" s="47"/>
      <c r="R22" s="46"/>
    </row>
    <row r="23" spans="1:19" ht="15.75" x14ac:dyDescent="0.25">
      <c r="A23" s="55"/>
      <c r="B23" s="3"/>
      <c r="C23" s="52" t="s">
        <v>55</v>
      </c>
      <c r="D23" s="52"/>
      <c r="E23" s="53"/>
      <c r="F23" s="53">
        <v>9600</v>
      </c>
      <c r="G23" s="38"/>
      <c r="H23" s="82"/>
      <c r="I23" s="83"/>
      <c r="J23" s="38"/>
      <c r="M23" s="82"/>
      <c r="N23" s="81"/>
      <c r="O23" s="38"/>
      <c r="Q23" s="78"/>
      <c r="R23" s="83"/>
    </row>
    <row r="24" spans="1:19" ht="16.5" thickBot="1" x14ac:dyDescent="0.3">
      <c r="A24" s="55"/>
      <c r="B24" s="3"/>
      <c r="C24" s="69" t="s">
        <v>57</v>
      </c>
      <c r="D24" s="52"/>
      <c r="E24" s="53"/>
      <c r="F24" s="53">
        <f>9600*7%</f>
        <v>672.00000000000011</v>
      </c>
      <c r="G24" s="38"/>
      <c r="H24" s="89">
        <f>H21-I21</f>
        <v>0</v>
      </c>
      <c r="I24" s="87"/>
      <c r="J24" s="38"/>
      <c r="M24" s="89">
        <f>M21</f>
        <v>1500</v>
      </c>
      <c r="N24" s="87"/>
      <c r="O24" s="38"/>
      <c r="Q24" s="46"/>
      <c r="R24" s="90">
        <f>R21</f>
        <v>0</v>
      </c>
    </row>
    <row r="25" spans="1:19" ht="30.75" thickTop="1" x14ac:dyDescent="0.25">
      <c r="A25" s="55"/>
      <c r="B25" s="3"/>
      <c r="C25" s="69" t="s">
        <v>56</v>
      </c>
      <c r="D25" s="52"/>
      <c r="E25" s="53"/>
      <c r="F25" s="53"/>
      <c r="G25" s="38"/>
      <c r="H25" s="57"/>
      <c r="J25" s="38"/>
      <c r="M25" s="57"/>
      <c r="O25" s="38"/>
      <c r="R25" s="57"/>
    </row>
    <row r="26" spans="1:19" ht="15.75" x14ac:dyDescent="0.25">
      <c r="A26" s="55"/>
      <c r="B26" s="3">
        <v>15</v>
      </c>
      <c r="C26" s="52" t="s">
        <v>58</v>
      </c>
      <c r="D26" s="52"/>
      <c r="E26" s="53">
        <v>6200</v>
      </c>
      <c r="F26" s="53"/>
      <c r="G26" s="38"/>
      <c r="H26" s="118"/>
      <c r="I26" s="118"/>
      <c r="J26" s="92"/>
      <c r="K26" s="34"/>
      <c r="M26" s="118"/>
      <c r="N26" s="118"/>
      <c r="O26" s="92"/>
      <c r="P26" s="38"/>
      <c r="Q26" s="118"/>
      <c r="R26" s="118"/>
      <c r="S26" s="91"/>
    </row>
    <row r="27" spans="1:19" ht="15.75" x14ac:dyDescent="0.25">
      <c r="A27" s="55"/>
      <c r="B27" s="3"/>
      <c r="C27" s="52" t="s">
        <v>48</v>
      </c>
      <c r="D27" s="52"/>
      <c r="E27" s="53"/>
      <c r="F27" s="53">
        <v>6200</v>
      </c>
      <c r="G27" s="38"/>
      <c r="H27" s="117" t="s">
        <v>51</v>
      </c>
      <c r="I27" s="117"/>
      <c r="J27" s="38">
        <v>110</v>
      </c>
      <c r="M27" s="117" t="s">
        <v>60</v>
      </c>
      <c r="N27" s="117"/>
      <c r="O27" s="35">
        <v>600</v>
      </c>
      <c r="Q27" s="117" t="s">
        <v>72</v>
      </c>
      <c r="R27" s="117"/>
      <c r="S27" s="105">
        <v>602</v>
      </c>
    </row>
    <row r="28" spans="1:19" ht="30" x14ac:dyDescent="0.25">
      <c r="A28" s="55"/>
      <c r="B28" s="58"/>
      <c r="C28" s="69" t="s">
        <v>59</v>
      </c>
      <c r="D28" s="52"/>
      <c r="E28" s="53"/>
      <c r="F28" s="53"/>
      <c r="G28" s="38"/>
      <c r="H28" s="43" t="s">
        <v>0</v>
      </c>
      <c r="I28" s="43" t="s">
        <v>1</v>
      </c>
      <c r="J28" s="38"/>
      <c r="M28" s="43" t="s">
        <v>0</v>
      </c>
      <c r="N28" s="43" t="s">
        <v>1</v>
      </c>
      <c r="Q28" s="43" t="s">
        <v>0</v>
      </c>
      <c r="R28" s="43" t="s">
        <v>1</v>
      </c>
      <c r="S28" s="105"/>
    </row>
    <row r="29" spans="1:19" ht="15.75" x14ac:dyDescent="0.25">
      <c r="A29" s="55"/>
      <c r="B29" s="58">
        <v>22</v>
      </c>
      <c r="C29" s="52" t="s">
        <v>25</v>
      </c>
      <c r="D29" s="52"/>
      <c r="E29" s="53">
        <v>5000</v>
      </c>
      <c r="F29" s="53"/>
      <c r="G29" s="38">
        <v>9</v>
      </c>
      <c r="H29" s="44">
        <v>5300</v>
      </c>
      <c r="J29" s="38"/>
      <c r="L29" s="35">
        <v>15</v>
      </c>
      <c r="M29" s="44">
        <v>6200</v>
      </c>
      <c r="P29" s="35">
        <v>26</v>
      </c>
      <c r="Q29" s="44">
        <v>380</v>
      </c>
      <c r="S29" s="92"/>
    </row>
    <row r="30" spans="1:19" ht="15.75" x14ac:dyDescent="0.25">
      <c r="A30" s="55"/>
      <c r="B30" s="55"/>
      <c r="C30" s="52" t="s">
        <v>62</v>
      </c>
      <c r="D30" s="52"/>
      <c r="E30" s="53"/>
      <c r="F30" s="53">
        <v>5000</v>
      </c>
      <c r="G30" s="38"/>
      <c r="H30" s="47"/>
      <c r="J30" s="38"/>
      <c r="M30" s="47"/>
      <c r="Q30" s="47"/>
      <c r="S30" s="105"/>
    </row>
    <row r="31" spans="1:19" ht="45" x14ac:dyDescent="0.25">
      <c r="A31" s="55"/>
      <c r="B31" s="3"/>
      <c r="C31" s="69" t="s">
        <v>63</v>
      </c>
      <c r="D31" s="52"/>
      <c r="E31" s="53"/>
      <c r="F31" s="53"/>
      <c r="G31" s="38"/>
      <c r="H31" s="47"/>
      <c r="I31" s="56"/>
      <c r="J31" s="38"/>
      <c r="M31" s="47"/>
      <c r="N31" s="56"/>
      <c r="Q31" s="47"/>
      <c r="R31" s="56"/>
      <c r="S31" s="92"/>
    </row>
    <row r="32" spans="1:19" ht="15.75" x14ac:dyDescent="0.25">
      <c r="A32" s="55"/>
      <c r="B32" s="58">
        <v>26</v>
      </c>
      <c r="C32" s="52" t="s">
        <v>73</v>
      </c>
      <c r="D32" s="52"/>
      <c r="E32" s="53">
        <v>380</v>
      </c>
      <c r="F32" s="53"/>
      <c r="G32" s="38"/>
      <c r="H32" s="48"/>
      <c r="I32" s="45"/>
      <c r="J32" s="38"/>
      <c r="M32" s="48"/>
      <c r="N32" s="45"/>
      <c r="O32" s="34"/>
      <c r="P32" s="38"/>
      <c r="Q32" s="48"/>
      <c r="R32" s="45"/>
      <c r="S32" s="41"/>
    </row>
    <row r="33" spans="1:19" ht="15.75" x14ac:dyDescent="0.25">
      <c r="A33" s="55"/>
      <c r="B33" s="3"/>
      <c r="C33" s="52" t="s">
        <v>27</v>
      </c>
      <c r="D33" s="52"/>
      <c r="E33" s="53">
        <f>(380*7%)</f>
        <v>26.6</v>
      </c>
      <c r="F33" s="53"/>
      <c r="G33" s="38"/>
      <c r="H33" s="47"/>
      <c r="I33" s="45"/>
      <c r="J33" s="38"/>
      <c r="M33" s="47"/>
      <c r="N33" s="45"/>
      <c r="O33" s="38"/>
      <c r="P33" s="107"/>
      <c r="Q33" s="47"/>
      <c r="R33" s="45"/>
      <c r="S33" s="108"/>
    </row>
    <row r="34" spans="1:19" ht="15.75" x14ac:dyDescent="0.25">
      <c r="A34" s="55"/>
      <c r="B34" s="3"/>
      <c r="C34" s="52" t="s">
        <v>48</v>
      </c>
      <c r="D34" s="52"/>
      <c r="E34" s="53"/>
      <c r="F34" s="53">
        <f>E32+E33</f>
        <v>406.6</v>
      </c>
      <c r="G34" s="38"/>
      <c r="H34" s="80"/>
      <c r="I34" s="84"/>
      <c r="J34" s="92"/>
      <c r="M34" s="80"/>
      <c r="N34" s="84"/>
      <c r="O34" s="91"/>
      <c r="Q34" s="80"/>
      <c r="R34" s="84"/>
      <c r="S34" s="91"/>
    </row>
    <row r="35" spans="1:19" ht="30.75" thickBot="1" x14ac:dyDescent="0.3">
      <c r="A35" s="59"/>
      <c r="B35" s="3"/>
      <c r="C35" s="69" t="s">
        <v>64</v>
      </c>
      <c r="D35" s="52"/>
      <c r="E35" s="53"/>
      <c r="F35" s="53"/>
      <c r="G35" s="38"/>
      <c r="H35" s="88">
        <f>SUM(H29:H34)</f>
        <v>5300</v>
      </c>
      <c r="M35" s="88">
        <f>SUM(M29:M34)</f>
        <v>6200</v>
      </c>
      <c r="Q35" s="88">
        <f>SUM(Q29:Q34)</f>
        <v>380</v>
      </c>
    </row>
    <row r="36" spans="1:19" ht="16.5" thickTop="1" x14ac:dyDescent="0.25">
      <c r="A36" s="55"/>
      <c r="B36" s="3">
        <v>29</v>
      </c>
      <c r="C36" s="35" t="s">
        <v>33</v>
      </c>
      <c r="D36" s="52"/>
      <c r="E36" s="53">
        <f>(5300+5300*7%) *50%</f>
        <v>2835.5</v>
      </c>
      <c r="F36" s="53"/>
      <c r="G36" s="38"/>
      <c r="H36" s="46"/>
      <c r="I36" s="46"/>
      <c r="M36" s="46"/>
      <c r="N36" s="46"/>
      <c r="Q36" s="46"/>
      <c r="R36" s="46"/>
    </row>
    <row r="37" spans="1:19" ht="15.75" x14ac:dyDescent="0.25">
      <c r="A37" s="55"/>
      <c r="B37" s="3"/>
      <c r="C37" s="52" t="s">
        <v>48</v>
      </c>
      <c r="D37" s="52"/>
      <c r="E37" s="53"/>
      <c r="F37" s="53">
        <f>(5300+5300*7%) *50%</f>
        <v>2835.5</v>
      </c>
      <c r="G37" s="38"/>
      <c r="H37" s="46"/>
      <c r="I37" s="46"/>
      <c r="M37" s="46"/>
      <c r="N37" s="46"/>
      <c r="Q37" s="46"/>
      <c r="R37" s="46"/>
    </row>
    <row r="38" spans="1:19" ht="30" x14ac:dyDescent="0.25">
      <c r="A38" s="55"/>
      <c r="B38" s="60"/>
      <c r="C38" s="158" t="s">
        <v>71</v>
      </c>
      <c r="D38" s="61"/>
      <c r="E38" s="53"/>
      <c r="F38" s="53"/>
      <c r="G38" s="38"/>
      <c r="H38" s="106"/>
      <c r="I38" s="106"/>
      <c r="M38" s="106"/>
      <c r="N38" s="106"/>
      <c r="Q38" s="106"/>
      <c r="R38" s="106"/>
    </row>
    <row r="39" spans="1:19" ht="15.75" x14ac:dyDescent="0.25">
      <c r="A39" s="55"/>
      <c r="B39" s="3">
        <v>30</v>
      </c>
      <c r="C39" s="69" t="s">
        <v>66</v>
      </c>
      <c r="D39" s="52"/>
      <c r="E39" s="53">
        <f>410-410*7%</f>
        <v>381.3</v>
      </c>
      <c r="F39" s="53"/>
      <c r="G39" s="38"/>
      <c r="H39" s="110"/>
      <c r="I39" s="46"/>
      <c r="M39" s="46"/>
      <c r="N39" s="54"/>
      <c r="Q39" s="46"/>
      <c r="R39" s="54"/>
    </row>
    <row r="40" spans="1:19" ht="15.75" x14ac:dyDescent="0.25">
      <c r="A40" s="55"/>
      <c r="B40" s="3"/>
      <c r="C40" s="52" t="s">
        <v>67</v>
      </c>
      <c r="D40" s="52"/>
      <c r="E40" s="53">
        <f>45-45*7%</f>
        <v>41.85</v>
      </c>
      <c r="F40" s="53"/>
      <c r="G40" s="62"/>
      <c r="H40" s="117" t="s">
        <v>69</v>
      </c>
      <c r="I40" s="117"/>
      <c r="J40" s="34">
        <v>603</v>
      </c>
      <c r="K40" s="34"/>
      <c r="M40" s="117" t="s">
        <v>67</v>
      </c>
      <c r="N40" s="117"/>
      <c r="O40" s="35">
        <v>604</v>
      </c>
      <c r="Q40" s="117"/>
      <c r="R40" s="117"/>
    </row>
    <row r="41" spans="1:19" ht="15.75" x14ac:dyDescent="0.25">
      <c r="A41" s="55"/>
      <c r="B41" s="3"/>
      <c r="C41" s="35" t="s">
        <v>68</v>
      </c>
      <c r="D41" s="52"/>
      <c r="E41" s="53">
        <f>(410*7%)+ (45*7%)</f>
        <v>31.85</v>
      </c>
      <c r="F41" s="53"/>
      <c r="G41" s="62"/>
      <c r="H41" s="43" t="s">
        <v>0</v>
      </c>
      <c r="I41" s="43" t="s">
        <v>1</v>
      </c>
      <c r="M41" s="43" t="s">
        <v>0</v>
      </c>
      <c r="N41" s="43" t="s">
        <v>1</v>
      </c>
      <c r="Q41" s="43" t="s">
        <v>0</v>
      </c>
      <c r="R41" s="43" t="s">
        <v>1</v>
      </c>
    </row>
    <row r="42" spans="1:19" ht="15.75" x14ac:dyDescent="0.25">
      <c r="A42" s="55"/>
      <c r="B42" s="3"/>
      <c r="C42" s="69" t="s">
        <v>48</v>
      </c>
      <c r="D42" s="52"/>
      <c r="E42" s="53"/>
      <c r="F42" s="53">
        <f>E39+E40+E41</f>
        <v>455.00000000000006</v>
      </c>
      <c r="G42" s="62">
        <v>30</v>
      </c>
      <c r="H42" s="44">
        <v>381.3</v>
      </c>
      <c r="J42" s="91"/>
      <c r="L42" s="35">
        <v>30</v>
      </c>
      <c r="M42" s="44">
        <v>41.85</v>
      </c>
      <c r="O42" s="91"/>
      <c r="P42" s="109"/>
      <c r="Q42" s="44"/>
    </row>
    <row r="43" spans="1:19" ht="15.75" x14ac:dyDescent="0.25">
      <c r="A43" s="55"/>
      <c r="B43" s="3"/>
      <c r="C43" s="52" t="s">
        <v>70</v>
      </c>
      <c r="D43" s="52"/>
      <c r="E43" s="53"/>
      <c r="F43" s="53"/>
      <c r="G43" s="62"/>
      <c r="H43" s="47"/>
      <c r="M43" s="47"/>
      <c r="Q43" s="47"/>
    </row>
    <row r="44" spans="1:19" ht="15.75" x14ac:dyDescent="0.25">
      <c r="A44" s="55"/>
      <c r="B44" s="3"/>
      <c r="C44" s="52"/>
      <c r="D44" s="52"/>
      <c r="E44" s="53"/>
      <c r="F44" s="53"/>
      <c r="G44" s="62"/>
      <c r="H44" s="47"/>
      <c r="I44" s="56"/>
      <c r="M44" s="47"/>
      <c r="N44" s="56"/>
      <c r="Q44" s="47"/>
      <c r="R44" s="56"/>
    </row>
    <row r="45" spans="1:19" ht="15.75" x14ac:dyDescent="0.25">
      <c r="A45" s="55"/>
      <c r="B45" s="3"/>
      <c r="C45" s="52"/>
      <c r="D45" s="52"/>
      <c r="E45" s="53"/>
      <c r="F45" s="53"/>
      <c r="G45" s="62"/>
      <c r="H45" s="48"/>
      <c r="I45" s="45"/>
      <c r="M45" s="48"/>
      <c r="N45" s="45"/>
      <c r="Q45" s="48"/>
      <c r="R45" s="45"/>
    </row>
    <row r="46" spans="1:19" ht="15.75" x14ac:dyDescent="0.25">
      <c r="A46" s="55"/>
      <c r="B46" s="3"/>
      <c r="C46" s="52"/>
      <c r="D46" s="52"/>
      <c r="E46" s="53"/>
      <c r="F46" s="53"/>
      <c r="H46" s="47"/>
      <c r="I46" s="45"/>
      <c r="M46" s="47"/>
      <c r="N46" s="45"/>
      <c r="Q46" s="47"/>
      <c r="R46" s="45"/>
    </row>
    <row r="47" spans="1:19" ht="15.75" x14ac:dyDescent="0.25">
      <c r="A47" s="55"/>
      <c r="B47" s="3"/>
      <c r="C47" s="52"/>
      <c r="D47" s="52"/>
      <c r="E47" s="53"/>
      <c r="F47" s="53"/>
      <c r="H47" s="80"/>
      <c r="I47" s="84"/>
      <c r="M47" s="80"/>
      <c r="N47" s="84"/>
      <c r="Q47" s="80"/>
      <c r="R47" s="84"/>
    </row>
    <row r="48" spans="1:19" ht="16.5" thickBot="1" x14ac:dyDescent="0.3">
      <c r="A48" s="55"/>
      <c r="B48" s="3"/>
      <c r="C48" s="52"/>
      <c r="D48" s="52"/>
      <c r="E48" s="53"/>
      <c r="F48" s="53"/>
      <c r="H48" s="88">
        <f>SUM(H42:H47)</f>
        <v>381.3</v>
      </c>
      <c r="M48" s="88">
        <f>SUM(M42:M47)</f>
        <v>41.85</v>
      </c>
      <c r="Q48" s="88">
        <f>SUM(Q42:Q47)</f>
        <v>0</v>
      </c>
    </row>
    <row r="49" spans="1:6" ht="16.5" thickTop="1" x14ac:dyDescent="0.25">
      <c r="A49" s="55"/>
      <c r="B49" s="3"/>
      <c r="C49" s="52"/>
      <c r="D49" s="52"/>
      <c r="E49" s="53"/>
      <c r="F49" s="53"/>
    </row>
    <row r="50" spans="1:6" ht="15.75" x14ac:dyDescent="0.25">
      <c r="A50" s="55"/>
      <c r="B50" s="3"/>
      <c r="C50" s="52"/>
      <c r="D50" s="52"/>
      <c r="E50" s="53"/>
      <c r="F50" s="53"/>
    </row>
    <row r="51" spans="1:6" ht="15.75" x14ac:dyDescent="0.25">
      <c r="A51" s="55"/>
      <c r="B51" s="3"/>
      <c r="C51" s="69"/>
      <c r="D51" s="52"/>
      <c r="E51" s="53"/>
      <c r="F51" s="53"/>
    </row>
    <row r="52" spans="1:6" ht="15.75" x14ac:dyDescent="0.25">
      <c r="A52" s="55"/>
      <c r="B52" s="3"/>
      <c r="C52" s="52"/>
      <c r="D52" s="52"/>
      <c r="E52" s="53"/>
      <c r="F52" s="53"/>
    </row>
    <row r="53" spans="1:6" ht="15.75" x14ac:dyDescent="0.25">
      <c r="A53" s="55"/>
      <c r="B53" s="3"/>
      <c r="C53" s="52"/>
      <c r="D53" s="52"/>
      <c r="E53" s="53"/>
      <c r="F53" s="53"/>
    </row>
    <row r="54" spans="1:6" ht="15.75" x14ac:dyDescent="0.25">
      <c r="A54" s="55"/>
      <c r="B54" s="3"/>
      <c r="C54" s="52"/>
      <c r="D54" s="52"/>
      <c r="E54" s="53"/>
      <c r="F54" s="53"/>
    </row>
    <row r="55" spans="1:6" ht="15.75" x14ac:dyDescent="0.25">
      <c r="A55" s="55"/>
      <c r="B55" s="3"/>
      <c r="C55" s="52"/>
      <c r="D55" s="52"/>
      <c r="E55" s="53"/>
      <c r="F55" s="53"/>
    </row>
    <row r="56" spans="1:6" ht="15.75" x14ac:dyDescent="0.25">
      <c r="A56" s="55"/>
      <c r="B56" s="3"/>
      <c r="C56" s="52"/>
      <c r="D56" s="52"/>
      <c r="E56" s="53"/>
      <c r="F56" s="53"/>
    </row>
    <row r="57" spans="1:6" ht="15.75" x14ac:dyDescent="0.25">
      <c r="A57" s="55"/>
      <c r="B57" s="3"/>
      <c r="C57" s="52"/>
      <c r="D57" s="52"/>
      <c r="E57" s="53"/>
      <c r="F57" s="53"/>
    </row>
  </sheetData>
  <mergeCells count="25">
    <mergeCell ref="H1:I1"/>
    <mergeCell ref="M1:N1"/>
    <mergeCell ref="Q1:R1"/>
    <mergeCell ref="A2:F2"/>
    <mergeCell ref="Q26:R26"/>
    <mergeCell ref="H26:I26"/>
    <mergeCell ref="M26:N26"/>
    <mergeCell ref="A3:F3"/>
    <mergeCell ref="A4:F4"/>
    <mergeCell ref="A5:B5"/>
    <mergeCell ref="A6:B6"/>
    <mergeCell ref="A1:E1"/>
    <mergeCell ref="Q40:R40"/>
    <mergeCell ref="H13:I13"/>
    <mergeCell ref="H14:I14"/>
    <mergeCell ref="M8:N8"/>
    <mergeCell ref="H40:I40"/>
    <mergeCell ref="M40:N40"/>
    <mergeCell ref="H27:I27"/>
    <mergeCell ref="M27:N27"/>
    <mergeCell ref="Q11:R11"/>
    <mergeCell ref="Q19:R19"/>
    <mergeCell ref="H19:I19"/>
    <mergeCell ref="M19:N19"/>
    <mergeCell ref="Q27:R27"/>
  </mergeCells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C0B7E3A79604D8F87E99E08D90AB2" ma:contentTypeVersion="11" ma:contentTypeDescription="Create a new document." ma:contentTypeScope="" ma:versionID="174b603d9fdfeb112a1eed2f620322fe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f6b4b8368776aeaa74880bddb1ca5fb3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Props1.xml><?xml version="1.0" encoding="utf-8"?>
<ds:datastoreItem xmlns:ds="http://schemas.openxmlformats.org/officeDocument/2006/customXml" ds:itemID="{348F8609-4360-44CA-9824-2401E487B3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4D1DA0-47AA-4CF3-AC17-44FE7F07EDAE}"/>
</file>

<file path=customXml/itemProps3.xml><?xml version="1.0" encoding="utf-8"?>
<ds:datastoreItem xmlns:ds="http://schemas.openxmlformats.org/officeDocument/2006/customXml" ds:itemID="{4D2A2063-53EC-43F9-B42C-FC08F3150C9F}">
  <ds:schemaRefs>
    <ds:schemaRef ds:uri="http://schemas.microsoft.com/office/infopath/2007/PartnerControls"/>
    <ds:schemaRef ds:uri="57301acf-2ccd-4ca6-a018-122032498919"/>
    <ds:schemaRef ds:uri="http://purl.org/dc/elements/1.1/"/>
    <ds:schemaRef ds:uri="3a3abbe0-8d5e-411e-8231-69b816014430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Enunciado</vt:lpstr>
      <vt:lpstr>MAYOR</vt:lpstr>
      <vt:lpstr>BALANCE</vt:lpstr>
      <vt:lpstr>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REBOULET</dc:creator>
  <cp:lastModifiedBy>Aaron Ortiz</cp:lastModifiedBy>
  <dcterms:created xsi:type="dcterms:W3CDTF">2026-05-26T15:46:26Z</dcterms:created>
  <dcterms:modified xsi:type="dcterms:W3CDTF">2026-06-02T16:53:39Z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</Properties>
</file>